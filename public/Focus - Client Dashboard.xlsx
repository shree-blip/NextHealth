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 of Irving" sheetId="1" r:id="rId5"/>
    <sheet state="visible" name="ER of Lufkin" sheetId="2" r:id="rId6"/>
    <sheet state="visible" name="Irving Med Spa" sheetId="3" r:id="rId7"/>
    <sheet state="visible" name="Naperville" sheetId="4" r:id="rId8"/>
  </sheets>
  <definedNames/>
  <calcPr/>
</workbook>
</file>

<file path=xl/sharedStrings.xml><?xml version="1.0" encoding="utf-8"?>
<sst xmlns="http://schemas.openxmlformats.org/spreadsheetml/2006/main" count="272" uniqueCount="94">
  <si>
    <t>x</t>
  </si>
  <si>
    <t>November</t>
  </si>
  <si>
    <t>December</t>
  </si>
  <si>
    <t>January</t>
  </si>
  <si>
    <t>February</t>
  </si>
  <si>
    <t>Week 1</t>
  </si>
  <si>
    <t>Week 2</t>
  </si>
  <si>
    <t>Week 3</t>
  </si>
  <si>
    <t>Week 4</t>
  </si>
  <si>
    <t>Content Writing Summary</t>
  </si>
  <si>
    <t>Number of Blogs Published</t>
  </si>
  <si>
    <t>SEO Performance Summary</t>
  </si>
  <si>
    <t>Average Ranking (Lower better)</t>
  </si>
  <si>
    <t>Total Traffic</t>
  </si>
  <si>
    <t>GMB Summary</t>
  </si>
  <si>
    <t>Calls Requested</t>
  </si>
  <si>
    <t>Website Visits</t>
  </si>
  <si>
    <t>Direction Clicks</t>
  </si>
  <si>
    <t>Meta Ads Summary</t>
  </si>
  <si>
    <t>Total Impressions</t>
  </si>
  <si>
    <t>Total Clicks</t>
  </si>
  <si>
    <t>Average CTR</t>
  </si>
  <si>
    <t>Total Conversions</t>
  </si>
  <si>
    <t>Total Ad Spend</t>
  </si>
  <si>
    <t>Google Ads Summary</t>
  </si>
  <si>
    <t>CPC</t>
  </si>
  <si>
    <t>CVR</t>
  </si>
  <si>
    <t>Cost/Conversion</t>
  </si>
  <si>
    <t>Total Cost</t>
  </si>
  <si>
    <t>Social Media Summary</t>
  </si>
  <si>
    <t>Metric</t>
  </si>
  <si>
    <t>Total Posts</t>
  </si>
  <si>
    <t>Total Views</t>
  </si>
  <si>
    <t>9.6k</t>
  </si>
  <si>
    <t>16.4k</t>
  </si>
  <si>
    <t>38.1k</t>
  </si>
  <si>
    <t>46.7k</t>
  </si>
  <si>
    <t>41.9k</t>
  </si>
  <si>
    <t>47.9k</t>
  </si>
  <si>
    <t>54.4k</t>
  </si>
  <si>
    <t>51.8k</t>
  </si>
  <si>
    <t>57.4k</t>
  </si>
  <si>
    <t>44.7k</t>
  </si>
  <si>
    <t>4.5k</t>
  </si>
  <si>
    <t>1.2k</t>
  </si>
  <si>
    <t>Patient Count</t>
  </si>
  <si>
    <t>Digital Conversion</t>
  </si>
  <si>
    <t>Conversion Rate</t>
  </si>
  <si>
    <t>Daily patient AVG</t>
  </si>
  <si>
    <t>Marketing Performance Dashboard</t>
  </si>
  <si>
    <t>TikTok Ads Summary</t>
  </si>
  <si>
    <t>Avg.CPC</t>
  </si>
  <si>
    <t xml:space="preserve"> </t>
  </si>
  <si>
    <t>62.1k</t>
  </si>
  <si>
    <t>64k</t>
  </si>
  <si>
    <t>53.4k</t>
  </si>
  <si>
    <t>32.9k</t>
  </si>
  <si>
    <t>46.1k</t>
  </si>
  <si>
    <t>40.6k</t>
  </si>
  <si>
    <t>12.4k</t>
  </si>
  <si>
    <t>12.7k</t>
  </si>
  <si>
    <t>18.9k</t>
  </si>
  <si>
    <t>21k</t>
  </si>
  <si>
    <t>8.3k</t>
  </si>
  <si>
    <t>29k</t>
  </si>
  <si>
    <t>19.8k</t>
  </si>
  <si>
    <t>16.3k</t>
  </si>
  <si>
    <t>14.5k</t>
  </si>
  <si>
    <t>Snapchat Summary</t>
  </si>
  <si>
    <t>7.8k</t>
  </si>
  <si>
    <t>11.3k</t>
  </si>
  <si>
    <t>14.6k</t>
  </si>
  <si>
    <t>14.3k</t>
  </si>
  <si>
    <t>20.5k</t>
  </si>
  <si>
    <t>55.4k</t>
  </si>
  <si>
    <t>66.1k</t>
  </si>
  <si>
    <t>80.9k</t>
  </si>
  <si>
    <t>101.6k</t>
  </si>
  <si>
    <t>102.5k</t>
  </si>
  <si>
    <t>100.5k</t>
  </si>
  <si>
    <t>74.2k</t>
  </si>
  <si>
    <t>31.3k</t>
  </si>
  <si>
    <t>28.1k</t>
  </si>
  <si>
    <t>24.5k</t>
  </si>
  <si>
    <t>23.1k</t>
  </si>
  <si>
    <t>146.5k</t>
  </si>
  <si>
    <t>38.3k</t>
  </si>
  <si>
    <t>32.7k</t>
  </si>
  <si>
    <t>26.5k</t>
  </si>
  <si>
    <t>40.1k</t>
  </si>
  <si>
    <t>33.5k</t>
  </si>
  <si>
    <t>25.5k</t>
  </si>
  <si>
    <t>25.1k</t>
  </si>
  <si>
    <t>22.8k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</si>
</sst>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0.0"/>
      <color rgb="FF000000"/>
      <name val="Arial"/>
      <scheme val="minor"/>
    </font>
    <font>
      <b/>
      <sz val="16.0"/>
      <color theme="1"/>
      <name val="Calibri"/>
    </font>
    <font/>
    <font>
      <b/>
      <sz val="12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</fills>
  <borders count="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2" fontId="3" numFmtId="0" xfId="0" applyAlignment="1" applyBorder="1" applyFill="1" applyFont="1">
      <alignment horizontal="center"/>
    </xf>
    <xf borderId="4" fillId="0" fontId="3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vertical="center"/>
    </xf>
    <xf borderId="7" fillId="0" fontId="3" numFmtId="0" xfId="0" applyAlignment="1" applyBorder="1" applyFont="1">
      <alignment horizontal="center" readingOrder="0" vertical="center"/>
    </xf>
    <xf borderId="8" fillId="0" fontId="2" numFmtId="0" xfId="0" applyBorder="1" applyFont="1"/>
    <xf borderId="4" fillId="3" fontId="3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 readingOrder="0"/>
    </xf>
    <xf borderId="4" fillId="3" fontId="3" numFmtId="0" xfId="0" applyAlignment="1" applyBorder="1" applyFont="1">
      <alignment horizontal="center"/>
    </xf>
    <xf borderId="3" fillId="0" fontId="4" numFmtId="10" xfId="0" applyAlignment="1" applyBorder="1" applyFont="1" applyNumberFormat="1">
      <alignment horizontal="center"/>
    </xf>
    <xf borderId="3" fillId="0" fontId="5" numFmtId="10" xfId="0" applyAlignment="1" applyBorder="1" applyFont="1" applyNumberFormat="1">
      <alignment horizontal="center"/>
    </xf>
    <xf borderId="0" fillId="0" fontId="5" numFmtId="10" xfId="0" applyFont="1" applyNumberFormat="1"/>
    <xf borderId="3" fillId="0" fontId="4" numFmtId="164" xfId="0" applyAlignment="1" applyBorder="1" applyFont="1" applyNumberFormat="1">
      <alignment horizontal="center"/>
    </xf>
    <xf borderId="3" fillId="0" fontId="5" numFmtId="164" xfId="0" applyAlignment="1" applyBorder="1" applyFont="1" applyNumberFormat="1">
      <alignment horizontal="center" readingOrder="0"/>
    </xf>
    <xf borderId="0" fillId="0" fontId="5" numFmtId="164" xfId="0" applyFont="1" applyNumberFormat="1"/>
    <xf borderId="3" fillId="0" fontId="5" numFmtId="164" xfId="0" applyAlignment="1" applyBorder="1" applyFont="1" applyNumberFormat="1">
      <alignment horizontal="center"/>
    </xf>
    <xf borderId="3" fillId="0" fontId="6" numFmtId="0" xfId="0" applyAlignment="1" applyBorder="1" applyFont="1">
      <alignment horizontal="center"/>
    </xf>
    <xf borderId="3" fillId="0" fontId="4" numFmtId="0" xfId="0" applyAlignment="1" applyBorder="1" applyFont="1">
      <alignment horizontal="center" readingOrder="0"/>
    </xf>
    <xf borderId="3" fillId="4" fontId="3" numFmtId="0" xfId="0" applyAlignment="1" applyBorder="1" applyFill="1" applyFont="1">
      <alignment horizontal="center" vertical="center"/>
    </xf>
    <xf borderId="3" fillId="4" fontId="5" numFmtId="0" xfId="0" applyAlignment="1" applyBorder="1" applyFont="1">
      <alignment horizontal="center" readingOrder="0" vertical="center"/>
    </xf>
    <xf borderId="3" fillId="4" fontId="7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3" fillId="4" fontId="3" numFmtId="3" xfId="0" applyAlignment="1" applyBorder="1" applyFont="1" applyNumberFormat="1">
      <alignment horizontal="center" readingOrder="0" vertical="center"/>
    </xf>
    <xf borderId="3" fillId="4" fontId="5" numFmtId="3" xfId="0" applyAlignment="1" applyBorder="1" applyFont="1" applyNumberFormat="1">
      <alignment horizontal="center" readingOrder="0" vertical="center"/>
    </xf>
    <xf borderId="0" fillId="0" fontId="5" numFmtId="3" xfId="0" applyFont="1" applyNumberFormat="1"/>
    <xf borderId="3" fillId="4" fontId="3" numFmtId="0" xfId="0" applyAlignment="1" applyBorder="1" applyFont="1">
      <alignment horizontal="center" readingOrder="0" vertical="center"/>
    </xf>
    <xf borderId="3" fillId="4" fontId="5" numFmtId="10" xfId="0" applyAlignment="1" applyBorder="1" applyFont="1" applyNumberFormat="1">
      <alignment horizontal="center" readingOrder="0" vertical="center"/>
    </xf>
    <xf borderId="0" fillId="0" fontId="6" numFmtId="1" xfId="0" applyAlignment="1" applyFont="1" applyNumberFormat="1">
      <alignment horizontal="center" readingOrder="0"/>
    </xf>
    <xf borderId="0" fillId="0" fontId="7" numFmtId="1" xfId="0" applyAlignment="1" applyFont="1" applyNumberFormat="1">
      <alignment horizontal="center" readingOrder="0"/>
    </xf>
    <xf borderId="0" fillId="0" fontId="5" numFmtId="1" xfId="0" applyAlignment="1" applyFont="1" applyNumberFormat="1">
      <alignment horizontal="center" readingOrder="0"/>
    </xf>
    <xf borderId="0" fillId="0" fontId="5" numFmtId="1" xfId="0" applyAlignment="1" applyFont="1" applyNumberFormat="1">
      <alignment horizontal="center"/>
    </xf>
    <xf borderId="0" fillId="0" fontId="5" numFmtId="1" xfId="0" applyFont="1" applyNumberFormat="1"/>
    <xf borderId="0" fillId="0" fontId="4" numFmtId="0" xfId="0" applyFont="1"/>
    <xf borderId="1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bottom"/>
    </xf>
    <xf borderId="3" fillId="0" fontId="5" numFmtId="0" xfId="0" applyBorder="1" applyFont="1"/>
    <xf borderId="3" fillId="0" fontId="4" numFmtId="164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3" fillId="4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0.0"/>
    <col customWidth="1" min="2" max="13" width="8.38"/>
    <col customWidth="1" min="14" max="15" width="10.75"/>
    <col customWidth="1" min="16" max="17" width="8.38"/>
  </cols>
  <sheetData>
    <row r="1" ht="36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/>
      <c r="B2" s="4" t="s">
        <v>1</v>
      </c>
      <c r="C2" s="5"/>
      <c r="D2" s="5"/>
      <c r="E2" s="6"/>
      <c r="F2" s="4" t="s">
        <v>2</v>
      </c>
      <c r="G2" s="5"/>
      <c r="H2" s="5"/>
      <c r="I2" s="6"/>
      <c r="J2" s="4" t="s">
        <v>3</v>
      </c>
      <c r="K2" s="5"/>
      <c r="L2" s="5"/>
      <c r="M2" s="6"/>
      <c r="N2" s="4" t="s">
        <v>4</v>
      </c>
      <c r="O2" s="5"/>
      <c r="P2" s="5"/>
      <c r="Q2" s="6"/>
    </row>
    <row r="3">
      <c r="A3" s="7"/>
      <c r="B3" s="8" t="s">
        <v>5</v>
      </c>
      <c r="C3" s="8" t="s">
        <v>6</v>
      </c>
      <c r="D3" s="8" t="s">
        <v>7</v>
      </c>
      <c r="E3" s="8" t="s">
        <v>8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5</v>
      </c>
      <c r="K3" s="8" t="s">
        <v>6</v>
      </c>
      <c r="L3" s="8" t="s">
        <v>7</v>
      </c>
      <c r="M3" s="8" t="s">
        <v>8</v>
      </c>
      <c r="N3" s="8" t="s">
        <v>5</v>
      </c>
      <c r="O3" s="8" t="s">
        <v>6</v>
      </c>
      <c r="P3" s="8" t="s">
        <v>7</v>
      </c>
      <c r="Q3" s="8" t="s">
        <v>8</v>
      </c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>
      <c r="A5" s="10" t="s">
        <v>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/>
    </row>
    <row r="6">
      <c r="A6" s="11" t="s">
        <v>10</v>
      </c>
      <c r="B6" s="12"/>
      <c r="C6" s="12"/>
      <c r="D6" s="12"/>
      <c r="E6" s="12"/>
      <c r="F6" s="12"/>
      <c r="G6" s="12"/>
      <c r="H6" s="12"/>
      <c r="I6" s="12"/>
      <c r="J6" s="12"/>
      <c r="K6" s="13">
        <v>4.0</v>
      </c>
      <c r="L6" s="13">
        <v>5.0</v>
      </c>
      <c r="M6" s="13">
        <v>4.0</v>
      </c>
      <c r="N6" s="13">
        <v>5.0</v>
      </c>
      <c r="O6" s="13">
        <v>5.0</v>
      </c>
      <c r="P6" s="13">
        <v>5.0</v>
      </c>
      <c r="Q6" s="12"/>
    </row>
    <row r="7">
      <c r="A7" s="14" t="s">
        <v>11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6"/>
    </row>
    <row r="8">
      <c r="A8" s="11" t="s">
        <v>12</v>
      </c>
      <c r="B8" s="13">
        <v>8.0</v>
      </c>
      <c r="C8" s="13">
        <v>7.0</v>
      </c>
      <c r="D8" s="13">
        <v>7.0</v>
      </c>
      <c r="E8" s="13">
        <v>7.0</v>
      </c>
      <c r="F8" s="13">
        <v>7.0</v>
      </c>
      <c r="G8" s="13">
        <v>7.0</v>
      </c>
      <c r="H8" s="13">
        <v>7.0</v>
      </c>
      <c r="I8" s="13">
        <v>7.0</v>
      </c>
      <c r="J8" s="12"/>
      <c r="K8" s="12"/>
      <c r="L8" s="12"/>
      <c r="M8" s="12"/>
      <c r="N8" s="12"/>
      <c r="O8" s="12"/>
      <c r="P8" s="12"/>
      <c r="Q8" s="12"/>
    </row>
    <row r="9">
      <c r="A9" s="11" t="s">
        <v>13</v>
      </c>
      <c r="B9" s="13">
        <v>624.0</v>
      </c>
      <c r="C9" s="13">
        <v>629.0</v>
      </c>
      <c r="D9" s="13">
        <v>644.0</v>
      </c>
      <c r="E9" s="13">
        <v>502.0</v>
      </c>
      <c r="F9" s="13">
        <v>223.0</v>
      </c>
      <c r="G9" s="13">
        <v>188.0</v>
      </c>
      <c r="H9" s="13">
        <v>285.0</v>
      </c>
      <c r="I9" s="13">
        <v>221.0</v>
      </c>
      <c r="J9" s="12"/>
      <c r="K9" s="12"/>
      <c r="L9" s="12"/>
      <c r="M9" s="12"/>
      <c r="N9" s="12"/>
      <c r="O9" s="12"/>
      <c r="P9" s="12"/>
      <c r="Q9" s="12"/>
    </row>
    <row r="10">
      <c r="A10" s="14" t="s">
        <v>14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6"/>
    </row>
    <row r="11">
      <c r="A11" s="11" t="s">
        <v>15</v>
      </c>
      <c r="B11" s="13">
        <v>35.0</v>
      </c>
      <c r="C11" s="13">
        <v>16.0</v>
      </c>
      <c r="D11" s="13">
        <v>32.0</v>
      </c>
      <c r="E11" s="13">
        <v>26.0</v>
      </c>
      <c r="F11" s="13">
        <v>14.0</v>
      </c>
      <c r="G11" s="13">
        <v>16.0</v>
      </c>
      <c r="H11" s="13">
        <v>19.0</v>
      </c>
      <c r="I11" s="13">
        <v>13.0</v>
      </c>
      <c r="J11" s="12"/>
      <c r="K11" s="12"/>
      <c r="L11" s="12"/>
      <c r="M11" s="12"/>
      <c r="N11" s="12"/>
      <c r="O11" s="12"/>
      <c r="P11" s="12"/>
      <c r="Q11" s="12"/>
    </row>
    <row r="12">
      <c r="A12" s="11" t="s">
        <v>16</v>
      </c>
      <c r="B12" s="13">
        <v>32.0</v>
      </c>
      <c r="C12" s="13">
        <v>24.0</v>
      </c>
      <c r="D12" s="13">
        <v>33.0</v>
      </c>
      <c r="E12" s="13">
        <v>24.0</v>
      </c>
      <c r="F12" s="13">
        <v>16.0</v>
      </c>
      <c r="G12" s="13">
        <v>22.0</v>
      </c>
      <c r="H12" s="13">
        <v>18.0</v>
      </c>
      <c r="I12" s="13">
        <v>21.0</v>
      </c>
      <c r="J12" s="12"/>
      <c r="K12" s="12"/>
      <c r="L12" s="12"/>
      <c r="M12" s="12"/>
      <c r="N12" s="12"/>
      <c r="O12" s="12"/>
      <c r="P12" s="12"/>
      <c r="Q12" s="12"/>
    </row>
    <row r="13">
      <c r="A13" s="11" t="s">
        <v>17</v>
      </c>
      <c r="B13" s="13">
        <v>47.0</v>
      </c>
      <c r="C13" s="13">
        <v>79.0</v>
      </c>
      <c r="D13" s="13">
        <v>100.0</v>
      </c>
      <c r="E13" s="13">
        <v>89.0</v>
      </c>
      <c r="F13" s="13">
        <v>46.0</v>
      </c>
      <c r="G13" s="13">
        <v>38.0</v>
      </c>
      <c r="H13" s="13">
        <v>42.0</v>
      </c>
      <c r="I13" s="13">
        <v>25.0</v>
      </c>
      <c r="J13" s="12"/>
      <c r="K13" s="12"/>
      <c r="L13" s="12"/>
      <c r="M13" s="12"/>
      <c r="N13" s="12"/>
      <c r="O13" s="12"/>
      <c r="P13" s="12"/>
      <c r="Q13" s="12"/>
    </row>
    <row r="14">
      <c r="A14" s="14" t="s">
        <v>18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6"/>
    </row>
    <row r="15">
      <c r="A15" s="11" t="s">
        <v>19</v>
      </c>
      <c r="B15" s="13">
        <v>1853.0</v>
      </c>
      <c r="C15" s="13">
        <v>9854.0</v>
      </c>
      <c r="D15" s="13">
        <v>33186.0</v>
      </c>
      <c r="E15" s="13">
        <v>42124.0</v>
      </c>
      <c r="F15" s="13">
        <v>42699.0</v>
      </c>
      <c r="G15" s="13">
        <v>45569.0</v>
      </c>
      <c r="H15" s="13">
        <v>41924.0</v>
      </c>
      <c r="I15" s="13">
        <v>45237.0</v>
      </c>
      <c r="J15" s="13">
        <v>61665.0</v>
      </c>
      <c r="K15" s="13">
        <v>17260.0</v>
      </c>
      <c r="L15" s="13">
        <v>26695.0</v>
      </c>
      <c r="M15" s="13">
        <v>28946.0</v>
      </c>
      <c r="N15" s="13">
        <v>25561.0</v>
      </c>
      <c r="O15" s="13">
        <v>8354.0</v>
      </c>
      <c r="P15" s="13">
        <v>8921.0</v>
      </c>
      <c r="Q15" s="13">
        <v>9431.0</v>
      </c>
    </row>
    <row r="16">
      <c r="A16" s="11" t="s">
        <v>20</v>
      </c>
      <c r="B16" s="13">
        <v>8.0</v>
      </c>
      <c r="C16" s="13">
        <v>85.0</v>
      </c>
      <c r="D16" s="13">
        <v>222.0</v>
      </c>
      <c r="E16" s="13">
        <v>251.0</v>
      </c>
      <c r="F16" s="13">
        <v>250.0</v>
      </c>
      <c r="G16" s="13">
        <v>274.0</v>
      </c>
      <c r="H16" s="13">
        <v>349.0</v>
      </c>
      <c r="I16" s="13">
        <v>308.0</v>
      </c>
      <c r="J16" s="13">
        <v>397.0</v>
      </c>
      <c r="K16" s="13">
        <v>138.0</v>
      </c>
      <c r="L16" s="13">
        <v>234.0</v>
      </c>
      <c r="M16" s="13">
        <v>217.0</v>
      </c>
      <c r="N16" s="13">
        <v>163.0</v>
      </c>
      <c r="O16" s="13">
        <v>64.0</v>
      </c>
      <c r="P16" s="13">
        <v>63.0</v>
      </c>
      <c r="Q16" s="13">
        <v>74.0</v>
      </c>
    </row>
    <row r="17">
      <c r="A17" s="15" t="s">
        <v>21</v>
      </c>
      <c r="B17" s="16">
        <f t="shared" ref="B17:Q17" si="1">B16/B15</f>
        <v>0.00431732326</v>
      </c>
      <c r="C17" s="16">
        <f t="shared" si="1"/>
        <v>0.008625938705</v>
      </c>
      <c r="D17" s="16">
        <f t="shared" si="1"/>
        <v>0.00668956789</v>
      </c>
      <c r="E17" s="16">
        <f t="shared" si="1"/>
        <v>0.005958598424</v>
      </c>
      <c r="F17" s="16">
        <f t="shared" si="1"/>
        <v>0.005854938055</v>
      </c>
      <c r="G17" s="16">
        <f t="shared" si="1"/>
        <v>0.006012859619</v>
      </c>
      <c r="H17" s="16">
        <f t="shared" si="1"/>
        <v>0.008324587349</v>
      </c>
      <c r="I17" s="16">
        <f t="shared" si="1"/>
        <v>0.006808585892</v>
      </c>
      <c r="J17" s="16">
        <f t="shared" si="1"/>
        <v>0.006438011838</v>
      </c>
      <c r="K17" s="16">
        <f t="shared" si="1"/>
        <v>0.007995365006</v>
      </c>
      <c r="L17" s="16">
        <f t="shared" si="1"/>
        <v>0.008765686458</v>
      </c>
      <c r="M17" s="16">
        <f t="shared" si="1"/>
        <v>0.007496718027</v>
      </c>
      <c r="N17" s="16">
        <f t="shared" si="1"/>
        <v>0.006376902312</v>
      </c>
      <c r="O17" s="16">
        <f t="shared" si="1"/>
        <v>0.007661000718</v>
      </c>
      <c r="P17" s="16">
        <f t="shared" si="1"/>
        <v>0.007061988566</v>
      </c>
      <c r="Q17" s="16">
        <f t="shared" si="1"/>
        <v>0.00784646379</v>
      </c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1" t="s">
        <v>22</v>
      </c>
      <c r="B18" s="13">
        <v>5.0</v>
      </c>
      <c r="C18" s="13">
        <v>6.0</v>
      </c>
      <c r="D18" s="13">
        <v>7.0</v>
      </c>
      <c r="E18" s="13">
        <v>11.0</v>
      </c>
      <c r="F18" s="13">
        <v>6.0</v>
      </c>
      <c r="G18" s="13">
        <v>10.0</v>
      </c>
      <c r="H18" s="13">
        <v>7.0</v>
      </c>
      <c r="I18" s="13">
        <v>7.0</v>
      </c>
      <c r="J18" s="13">
        <v>10.0</v>
      </c>
      <c r="K18" s="13">
        <v>8.0</v>
      </c>
      <c r="L18" s="13">
        <v>8.0</v>
      </c>
      <c r="M18" s="13">
        <v>3.0</v>
      </c>
      <c r="N18" s="13">
        <v>1.0</v>
      </c>
      <c r="O18" s="13">
        <v>1.0</v>
      </c>
      <c r="P18" s="13">
        <v>1.0</v>
      </c>
      <c r="Q18" s="13">
        <v>2.0</v>
      </c>
    </row>
    <row r="19">
      <c r="A19" s="18" t="s">
        <v>23</v>
      </c>
      <c r="B19" s="19">
        <v>42.39</v>
      </c>
      <c r="C19" s="19">
        <v>196.79</v>
      </c>
      <c r="D19" s="19">
        <v>277.21</v>
      </c>
      <c r="E19" s="19">
        <v>278.89</v>
      </c>
      <c r="F19" s="19">
        <v>278.09</v>
      </c>
      <c r="G19" s="19">
        <v>277.09</v>
      </c>
      <c r="H19" s="19">
        <v>327.98</v>
      </c>
      <c r="I19" s="19">
        <v>278.42</v>
      </c>
      <c r="J19" s="19">
        <v>272.88</v>
      </c>
      <c r="K19" s="19">
        <v>237.86</v>
      </c>
      <c r="L19" s="19">
        <v>204.29</v>
      </c>
      <c r="M19" s="19">
        <v>208.12</v>
      </c>
      <c r="N19" s="19">
        <v>180.85</v>
      </c>
      <c r="O19" s="19">
        <v>71.54</v>
      </c>
      <c r="P19" s="19">
        <v>69.57</v>
      </c>
      <c r="Q19" s="19">
        <v>70.0</v>
      </c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14" t="s">
        <v>24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6"/>
    </row>
    <row r="21">
      <c r="A21" s="11" t="s">
        <v>19</v>
      </c>
      <c r="B21" s="13">
        <v>3176.0</v>
      </c>
      <c r="C21" s="13">
        <v>5469.0</v>
      </c>
      <c r="D21" s="13">
        <v>8731.0</v>
      </c>
      <c r="E21" s="13">
        <v>8523.0</v>
      </c>
      <c r="F21" s="13">
        <v>9487.0</v>
      </c>
      <c r="G21" s="13">
        <v>9101.0</v>
      </c>
      <c r="H21" s="13">
        <v>8610.0</v>
      </c>
      <c r="I21" s="13">
        <v>9652.0</v>
      </c>
      <c r="J21" s="13">
        <v>8260.0</v>
      </c>
      <c r="K21" s="13">
        <v>8392.0</v>
      </c>
      <c r="L21" s="13">
        <v>9390.0</v>
      </c>
      <c r="M21" s="13">
        <v>8262.0</v>
      </c>
      <c r="N21" s="13">
        <v>8444.0</v>
      </c>
      <c r="O21" s="13">
        <v>7190.0</v>
      </c>
      <c r="P21" s="13">
        <v>9221.0</v>
      </c>
      <c r="Q21" s="13">
        <v>8604.0</v>
      </c>
    </row>
    <row r="22">
      <c r="A22" s="11" t="s">
        <v>20</v>
      </c>
      <c r="B22" s="13">
        <v>113.0</v>
      </c>
      <c r="C22" s="13">
        <v>173.0</v>
      </c>
      <c r="D22" s="13">
        <v>299.0</v>
      </c>
      <c r="E22" s="13">
        <v>324.0</v>
      </c>
      <c r="F22" s="13">
        <v>291.0</v>
      </c>
      <c r="G22" s="13">
        <v>311.0</v>
      </c>
      <c r="H22" s="13">
        <v>330.0</v>
      </c>
      <c r="I22" s="13">
        <v>354.0</v>
      </c>
      <c r="J22" s="13">
        <v>317.0</v>
      </c>
      <c r="K22" s="13">
        <v>318.0</v>
      </c>
      <c r="L22" s="13">
        <v>324.0</v>
      </c>
      <c r="M22" s="13">
        <v>300.0</v>
      </c>
      <c r="N22" s="13">
        <v>321.0</v>
      </c>
      <c r="O22" s="13">
        <v>347.0</v>
      </c>
      <c r="P22" s="13">
        <v>373.0</v>
      </c>
      <c r="Q22" s="13">
        <v>345.0</v>
      </c>
    </row>
    <row r="23">
      <c r="A23" s="11" t="s">
        <v>21</v>
      </c>
      <c r="B23" s="16">
        <f t="shared" ref="B23:Q23" si="2">B22/B21</f>
        <v>0.03557934509</v>
      </c>
      <c r="C23" s="16">
        <f t="shared" si="2"/>
        <v>0.03163283964</v>
      </c>
      <c r="D23" s="16">
        <f t="shared" si="2"/>
        <v>0.03424579086</v>
      </c>
      <c r="E23" s="16">
        <f t="shared" si="2"/>
        <v>0.03801478353</v>
      </c>
      <c r="F23" s="16">
        <f t="shared" si="2"/>
        <v>0.03067355328</v>
      </c>
      <c r="G23" s="16">
        <f t="shared" si="2"/>
        <v>0.034172069</v>
      </c>
      <c r="H23" s="16">
        <f t="shared" si="2"/>
        <v>0.03832752613</v>
      </c>
      <c r="I23" s="16">
        <f t="shared" si="2"/>
        <v>0.03667633651</v>
      </c>
      <c r="J23" s="16">
        <f t="shared" si="2"/>
        <v>0.03837772397</v>
      </c>
      <c r="K23" s="16">
        <f t="shared" si="2"/>
        <v>0.03789323165</v>
      </c>
      <c r="L23" s="16">
        <f t="shared" si="2"/>
        <v>0.03450479233</v>
      </c>
      <c r="M23" s="16">
        <f t="shared" si="2"/>
        <v>0.03631082062</v>
      </c>
      <c r="N23" s="16">
        <f t="shared" si="2"/>
        <v>0.03801515869</v>
      </c>
      <c r="O23" s="16">
        <f t="shared" si="2"/>
        <v>0.04826147427</v>
      </c>
      <c r="P23" s="16">
        <f t="shared" si="2"/>
        <v>0.04045114413</v>
      </c>
      <c r="Q23" s="16">
        <f t="shared" si="2"/>
        <v>0.04009762901</v>
      </c>
    </row>
    <row r="24">
      <c r="A24" s="11" t="s">
        <v>25</v>
      </c>
      <c r="B24" s="21">
        <f t="shared" ref="B24:Q24" si="3">B28/B22</f>
        <v>7.750353982</v>
      </c>
      <c r="C24" s="21">
        <f t="shared" si="3"/>
        <v>5.194046243</v>
      </c>
      <c r="D24" s="21">
        <f t="shared" si="3"/>
        <v>2.161371237</v>
      </c>
      <c r="E24" s="21">
        <f t="shared" si="3"/>
        <v>1.931512346</v>
      </c>
      <c r="F24" s="21">
        <f t="shared" si="3"/>
        <v>2.436666667</v>
      </c>
      <c r="G24" s="21">
        <f t="shared" si="3"/>
        <v>2.313054662</v>
      </c>
      <c r="H24" s="21">
        <f t="shared" si="3"/>
        <v>2.069242424</v>
      </c>
      <c r="I24" s="21">
        <f t="shared" si="3"/>
        <v>1.914096045</v>
      </c>
      <c r="J24" s="21">
        <f t="shared" si="3"/>
        <v>2.186056782</v>
      </c>
      <c r="K24" s="21">
        <f t="shared" si="3"/>
        <v>2.555188679</v>
      </c>
      <c r="L24" s="21">
        <f t="shared" si="3"/>
        <v>2.632839506</v>
      </c>
      <c r="M24" s="21">
        <f t="shared" si="3"/>
        <v>2.9075</v>
      </c>
      <c r="N24" s="21">
        <f t="shared" si="3"/>
        <v>2.597538941</v>
      </c>
      <c r="O24" s="21">
        <f t="shared" si="3"/>
        <v>2.634351585</v>
      </c>
      <c r="P24" s="21">
        <f t="shared" si="3"/>
        <v>2.540134048</v>
      </c>
      <c r="Q24" s="21">
        <f t="shared" si="3"/>
        <v>2.652318841</v>
      </c>
    </row>
    <row r="25">
      <c r="A25" s="11" t="s">
        <v>22</v>
      </c>
      <c r="B25" s="13">
        <v>21.0</v>
      </c>
      <c r="C25" s="13">
        <v>19.0</v>
      </c>
      <c r="D25" s="13">
        <v>46.0</v>
      </c>
      <c r="E25" s="13">
        <v>41.0</v>
      </c>
      <c r="F25" s="13">
        <v>47.0</v>
      </c>
      <c r="G25" s="13">
        <v>51.0</v>
      </c>
      <c r="H25" s="13">
        <v>51.0</v>
      </c>
      <c r="I25" s="13">
        <v>47.0</v>
      </c>
      <c r="J25" s="13">
        <v>50.0</v>
      </c>
      <c r="K25" s="13">
        <v>48.0</v>
      </c>
      <c r="L25" s="13">
        <v>57.0</v>
      </c>
      <c r="M25" s="13">
        <v>50.0</v>
      </c>
      <c r="N25" s="13">
        <v>45.0</v>
      </c>
      <c r="O25" s="13">
        <v>56.0</v>
      </c>
      <c r="P25" s="13">
        <v>59.0</v>
      </c>
      <c r="Q25" s="13">
        <v>57.0</v>
      </c>
    </row>
    <row r="26">
      <c r="A26" s="11" t="s">
        <v>26</v>
      </c>
      <c r="B26" s="16">
        <f t="shared" ref="B26:Q26" si="4">B25/B22</f>
        <v>0.185840708</v>
      </c>
      <c r="C26" s="16">
        <f t="shared" si="4"/>
        <v>0.1098265896</v>
      </c>
      <c r="D26" s="16">
        <f t="shared" si="4"/>
        <v>0.1538461538</v>
      </c>
      <c r="E26" s="16">
        <f t="shared" si="4"/>
        <v>0.1265432099</v>
      </c>
      <c r="F26" s="16">
        <f t="shared" si="4"/>
        <v>0.1615120275</v>
      </c>
      <c r="G26" s="16">
        <f t="shared" si="4"/>
        <v>0.1639871383</v>
      </c>
      <c r="H26" s="16">
        <f t="shared" si="4"/>
        <v>0.1545454545</v>
      </c>
      <c r="I26" s="16">
        <f t="shared" si="4"/>
        <v>0.1327683616</v>
      </c>
      <c r="J26" s="16">
        <f t="shared" si="4"/>
        <v>0.1577287066</v>
      </c>
      <c r="K26" s="16">
        <f t="shared" si="4"/>
        <v>0.1509433962</v>
      </c>
      <c r="L26" s="16">
        <f t="shared" si="4"/>
        <v>0.1759259259</v>
      </c>
      <c r="M26" s="16">
        <f t="shared" si="4"/>
        <v>0.1666666667</v>
      </c>
      <c r="N26" s="16">
        <f t="shared" si="4"/>
        <v>0.1401869159</v>
      </c>
      <c r="O26" s="16">
        <f t="shared" si="4"/>
        <v>0.1613832853</v>
      </c>
      <c r="P26" s="16">
        <f t="shared" si="4"/>
        <v>0.1581769437</v>
      </c>
      <c r="Q26" s="16">
        <f t="shared" si="4"/>
        <v>0.1652173913</v>
      </c>
    </row>
    <row r="27">
      <c r="A27" s="11" t="s">
        <v>27</v>
      </c>
      <c r="B27" s="21">
        <f t="shared" ref="B27:Q27" si="5">B28/B25</f>
        <v>41.70428571</v>
      </c>
      <c r="C27" s="21">
        <f t="shared" si="5"/>
        <v>47.29315789</v>
      </c>
      <c r="D27" s="21">
        <f t="shared" si="5"/>
        <v>14.04891304</v>
      </c>
      <c r="E27" s="21">
        <f t="shared" si="5"/>
        <v>15.26365854</v>
      </c>
      <c r="F27" s="21">
        <f t="shared" si="5"/>
        <v>15.08659574</v>
      </c>
      <c r="G27" s="21">
        <f t="shared" si="5"/>
        <v>14.10509804</v>
      </c>
      <c r="H27" s="21">
        <f t="shared" si="5"/>
        <v>13.38921569</v>
      </c>
      <c r="I27" s="21">
        <f t="shared" si="5"/>
        <v>14.41680851</v>
      </c>
      <c r="J27" s="21">
        <f t="shared" si="5"/>
        <v>13.8596</v>
      </c>
      <c r="K27" s="21">
        <f t="shared" si="5"/>
        <v>16.928125</v>
      </c>
      <c r="L27" s="21">
        <f t="shared" si="5"/>
        <v>14.96561404</v>
      </c>
      <c r="M27" s="21">
        <f t="shared" si="5"/>
        <v>17.445</v>
      </c>
      <c r="N27" s="21">
        <f t="shared" si="5"/>
        <v>18.52911111</v>
      </c>
      <c r="O27" s="21">
        <f t="shared" si="5"/>
        <v>16.32357143</v>
      </c>
      <c r="P27" s="21">
        <f t="shared" si="5"/>
        <v>16.05881356</v>
      </c>
      <c r="Q27" s="21">
        <f t="shared" si="5"/>
        <v>16.05350877</v>
      </c>
    </row>
    <row r="28">
      <c r="A28" s="18" t="s">
        <v>28</v>
      </c>
      <c r="B28" s="19">
        <v>875.79</v>
      </c>
      <c r="C28" s="19">
        <v>898.57</v>
      </c>
      <c r="D28" s="19">
        <v>646.25</v>
      </c>
      <c r="E28" s="19">
        <v>625.81</v>
      </c>
      <c r="F28" s="19">
        <v>709.07</v>
      </c>
      <c r="G28" s="19">
        <v>719.36</v>
      </c>
      <c r="H28" s="19">
        <v>682.85</v>
      </c>
      <c r="I28" s="19">
        <v>677.59</v>
      </c>
      <c r="J28" s="19">
        <v>692.98</v>
      </c>
      <c r="K28" s="19">
        <v>812.55</v>
      </c>
      <c r="L28" s="19">
        <v>853.04</v>
      </c>
      <c r="M28" s="19">
        <v>872.25</v>
      </c>
      <c r="N28" s="19">
        <v>833.81</v>
      </c>
      <c r="O28" s="19">
        <v>914.12</v>
      </c>
      <c r="P28" s="19">
        <v>947.47</v>
      </c>
      <c r="Q28" s="19">
        <v>915.05</v>
      </c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14" t="s">
        <v>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6"/>
    </row>
    <row r="30">
      <c r="A30" s="22" t="s">
        <v>30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>
      <c r="A31" s="11" t="s">
        <v>31</v>
      </c>
      <c r="B31" s="13">
        <v>2.0</v>
      </c>
      <c r="C31" s="13">
        <v>5.0</v>
      </c>
      <c r="D31" s="13">
        <v>4.0</v>
      </c>
      <c r="E31" s="13">
        <v>2.0</v>
      </c>
      <c r="F31" s="13">
        <v>5.0</v>
      </c>
      <c r="G31" s="13">
        <v>5.0</v>
      </c>
      <c r="H31" s="13">
        <v>4.0</v>
      </c>
      <c r="I31" s="13">
        <v>4.0</v>
      </c>
      <c r="J31" s="13">
        <v>2.0</v>
      </c>
      <c r="K31" s="13">
        <v>3.0</v>
      </c>
      <c r="L31" s="13">
        <v>3.0</v>
      </c>
      <c r="M31" s="13">
        <v>2.0</v>
      </c>
      <c r="N31" s="13">
        <v>3.0</v>
      </c>
      <c r="O31" s="13">
        <v>5.0</v>
      </c>
      <c r="P31" s="13">
        <v>3.0</v>
      </c>
      <c r="Q31" s="13">
        <v>6.0</v>
      </c>
    </row>
    <row r="32">
      <c r="A32" s="23" t="s">
        <v>32</v>
      </c>
      <c r="B32" s="13" t="s">
        <v>33</v>
      </c>
      <c r="C32" s="13" t="s">
        <v>34</v>
      </c>
      <c r="D32" s="13" t="s">
        <v>35</v>
      </c>
      <c r="E32" s="13" t="s">
        <v>36</v>
      </c>
      <c r="F32" s="13" t="s">
        <v>37</v>
      </c>
      <c r="G32" s="13" t="s">
        <v>38</v>
      </c>
      <c r="H32" s="13" t="s">
        <v>39</v>
      </c>
      <c r="I32" s="13" t="s">
        <v>40</v>
      </c>
      <c r="J32" s="13" t="s">
        <v>41</v>
      </c>
      <c r="K32" s="13" t="s">
        <v>42</v>
      </c>
      <c r="L32" s="13" t="s">
        <v>43</v>
      </c>
      <c r="M32" s="13" t="s">
        <v>44</v>
      </c>
      <c r="N32" s="13">
        <v>474.0</v>
      </c>
      <c r="O32" s="13">
        <v>359.0</v>
      </c>
      <c r="P32" s="13">
        <v>328.0</v>
      </c>
      <c r="Q32" s="13">
        <v>786.0</v>
      </c>
    </row>
    <row r="33" ht="44.25" customHeight="1">
      <c r="A33" s="24" t="s">
        <v>45</v>
      </c>
      <c r="B33" s="25">
        <v>63.0</v>
      </c>
      <c r="C33" s="25">
        <v>50.0</v>
      </c>
      <c r="D33" s="25">
        <v>51.0</v>
      </c>
      <c r="E33" s="25">
        <v>42.0</v>
      </c>
      <c r="F33" s="26">
        <v>45.0</v>
      </c>
      <c r="G33" s="25">
        <v>71.0</v>
      </c>
      <c r="H33" s="25">
        <v>56.0</v>
      </c>
      <c r="I33" s="25">
        <v>63.0</v>
      </c>
      <c r="J33" s="25">
        <v>57.0</v>
      </c>
      <c r="K33" s="25">
        <v>57.0</v>
      </c>
      <c r="L33" s="25">
        <v>50.0</v>
      </c>
      <c r="M33" s="25">
        <v>56.0</v>
      </c>
      <c r="N33" s="25">
        <v>48.0</v>
      </c>
      <c r="O33" s="25">
        <v>45.0</v>
      </c>
      <c r="P33" s="25">
        <v>46.0</v>
      </c>
      <c r="Q33" s="25">
        <v>56.0</v>
      </c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46</v>
      </c>
      <c r="B34" s="29"/>
      <c r="C34" s="29"/>
      <c r="D34" s="29"/>
      <c r="E34" s="29"/>
      <c r="F34" s="29"/>
      <c r="G34" s="29"/>
      <c r="H34" s="29"/>
      <c r="I34" s="29"/>
      <c r="J34" s="29"/>
      <c r="K34" s="29">
        <v>16.0</v>
      </c>
      <c r="L34" s="29">
        <v>12.0</v>
      </c>
      <c r="M34" s="29">
        <v>12.0</v>
      </c>
      <c r="N34" s="29">
        <v>17.0</v>
      </c>
      <c r="O34" s="29">
        <v>11.0</v>
      </c>
      <c r="P34" s="29">
        <v>13.0</v>
      </c>
      <c r="Q34" s="29">
        <v>21.0</v>
      </c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1" t="s">
        <v>47</v>
      </c>
      <c r="B35" s="32">
        <f t="shared" ref="B35:Q35" si="6">B34/(SUM(B25,B18))</f>
        <v>0</v>
      </c>
      <c r="C35" s="32">
        <f t="shared" si="6"/>
        <v>0</v>
      </c>
      <c r="D35" s="32">
        <f t="shared" si="6"/>
        <v>0</v>
      </c>
      <c r="E35" s="32">
        <f t="shared" si="6"/>
        <v>0</v>
      </c>
      <c r="F35" s="32">
        <f t="shared" si="6"/>
        <v>0</v>
      </c>
      <c r="G35" s="32">
        <f t="shared" si="6"/>
        <v>0</v>
      </c>
      <c r="H35" s="32">
        <f t="shared" si="6"/>
        <v>0</v>
      </c>
      <c r="I35" s="32">
        <f t="shared" si="6"/>
        <v>0</v>
      </c>
      <c r="J35" s="32">
        <f t="shared" si="6"/>
        <v>0</v>
      </c>
      <c r="K35" s="32">
        <f t="shared" si="6"/>
        <v>0.2857142857</v>
      </c>
      <c r="L35" s="32">
        <f t="shared" si="6"/>
        <v>0.1846153846</v>
      </c>
      <c r="M35" s="32">
        <f t="shared" si="6"/>
        <v>0.2264150943</v>
      </c>
      <c r="N35" s="32">
        <f t="shared" si="6"/>
        <v>0.3695652174</v>
      </c>
      <c r="O35" s="32">
        <f t="shared" si="6"/>
        <v>0.1929824561</v>
      </c>
      <c r="P35" s="32">
        <f t="shared" si="6"/>
        <v>0.2166666667</v>
      </c>
      <c r="Q35" s="32">
        <f t="shared" si="6"/>
        <v>0.3559322034</v>
      </c>
    </row>
    <row r="36">
      <c r="A36" s="33" t="s">
        <v>48</v>
      </c>
      <c r="B36" s="34">
        <v>7.4</v>
      </c>
      <c r="C36" s="35">
        <v>7.14</v>
      </c>
      <c r="D36" s="35">
        <v>7.29</v>
      </c>
      <c r="E36" s="35">
        <v>6.0</v>
      </c>
      <c r="F36" s="35">
        <v>6.42</v>
      </c>
      <c r="G36" s="35">
        <v>10.0</v>
      </c>
      <c r="H36" s="35">
        <v>8.0</v>
      </c>
      <c r="I36" s="36">
        <f t="shared" ref="I36:Q36" si="7">I33/7</f>
        <v>9</v>
      </c>
      <c r="J36" s="36">
        <f t="shared" si="7"/>
        <v>8.142857143</v>
      </c>
      <c r="K36" s="36">
        <f t="shared" si="7"/>
        <v>8.142857143</v>
      </c>
      <c r="L36" s="36">
        <f t="shared" si="7"/>
        <v>7.142857143</v>
      </c>
      <c r="M36" s="36">
        <f t="shared" si="7"/>
        <v>8</v>
      </c>
      <c r="N36" s="36">
        <f t="shared" si="7"/>
        <v>6.857142857</v>
      </c>
      <c r="O36" s="36">
        <f t="shared" si="7"/>
        <v>6.428571429</v>
      </c>
      <c r="P36" s="36">
        <f t="shared" si="7"/>
        <v>6.571428571</v>
      </c>
      <c r="Q36" s="36">
        <f t="shared" si="7"/>
        <v>8</v>
      </c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8"/>
    </row>
    <row r="38">
      <c r="A38" s="38"/>
    </row>
    <row r="39">
      <c r="A39" s="38"/>
    </row>
    <row r="40">
      <c r="A40" s="38"/>
    </row>
    <row r="41">
      <c r="A41" s="38"/>
    </row>
    <row r="42">
      <c r="A42" s="38"/>
    </row>
    <row r="43">
      <c r="A43" s="38"/>
    </row>
    <row r="44">
      <c r="A44" s="38"/>
    </row>
    <row r="45">
      <c r="A45" s="38"/>
    </row>
    <row r="46">
      <c r="A46" s="38"/>
    </row>
    <row r="47">
      <c r="A47" s="38"/>
    </row>
    <row r="48">
      <c r="A48" s="38"/>
    </row>
    <row r="49">
      <c r="A49" s="38"/>
    </row>
    <row r="50">
      <c r="A50" s="38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</sheetData>
  <mergeCells count="28">
    <mergeCell ref="Q3:Q4"/>
    <mergeCell ref="A5:Q5"/>
    <mergeCell ref="A7:Q7"/>
    <mergeCell ref="A10:Q10"/>
    <mergeCell ref="A14:Q14"/>
    <mergeCell ref="A20:Q20"/>
    <mergeCell ref="A29:Q29"/>
    <mergeCell ref="A1:Q1"/>
    <mergeCell ref="B2:E2"/>
    <mergeCell ref="F2:I2"/>
    <mergeCell ref="J2:M2"/>
    <mergeCell ref="N2:Q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0.0"/>
    <col customWidth="1" min="2" max="14" width="7.63"/>
    <col customWidth="1" min="15" max="15" width="7.13"/>
    <col customWidth="1" min="16" max="16" width="10.75"/>
    <col customWidth="1" min="17" max="17" width="7.63"/>
  </cols>
  <sheetData>
    <row r="1" ht="36.75" customHeight="1">
      <c r="A1" s="39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/>
      <c r="B2" s="4" t="s">
        <v>1</v>
      </c>
      <c r="C2" s="5"/>
      <c r="D2" s="5"/>
      <c r="E2" s="6"/>
      <c r="F2" s="4" t="s">
        <v>2</v>
      </c>
      <c r="G2" s="5"/>
      <c r="H2" s="5"/>
      <c r="I2" s="6"/>
      <c r="J2" s="40" t="s">
        <v>3</v>
      </c>
      <c r="K2" s="5"/>
      <c r="L2" s="5"/>
      <c r="M2" s="6"/>
      <c r="N2" s="4" t="s">
        <v>4</v>
      </c>
      <c r="O2" s="5"/>
      <c r="P2" s="5"/>
      <c r="Q2" s="6"/>
    </row>
    <row r="3">
      <c r="A3" s="7"/>
      <c r="B3" s="8" t="s">
        <v>5</v>
      </c>
      <c r="C3" s="8" t="s">
        <v>6</v>
      </c>
      <c r="D3" s="8" t="s">
        <v>7</v>
      </c>
      <c r="E3" s="8" t="s">
        <v>8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5</v>
      </c>
      <c r="K3" s="8" t="s">
        <v>6</v>
      </c>
      <c r="L3" s="8" t="s">
        <v>7</v>
      </c>
      <c r="M3" s="8" t="s">
        <v>8</v>
      </c>
      <c r="N3" s="8" t="s">
        <v>5</v>
      </c>
      <c r="O3" s="8" t="s">
        <v>6</v>
      </c>
      <c r="P3" s="8" t="s">
        <v>7</v>
      </c>
      <c r="Q3" s="8" t="s">
        <v>8</v>
      </c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>
      <c r="A5" s="10" t="s">
        <v>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/>
    </row>
    <row r="6">
      <c r="A6" s="11" t="s">
        <v>10</v>
      </c>
      <c r="B6" s="13">
        <v>6.0</v>
      </c>
      <c r="C6" s="13">
        <v>5.0</v>
      </c>
      <c r="D6" s="13">
        <v>8.0</v>
      </c>
      <c r="E6" s="13">
        <v>7.0</v>
      </c>
      <c r="F6" s="13">
        <v>5.0</v>
      </c>
      <c r="G6" s="13">
        <v>5.0</v>
      </c>
      <c r="H6" s="13">
        <v>5.0</v>
      </c>
      <c r="I6" s="13">
        <v>5.0</v>
      </c>
      <c r="J6" s="13">
        <v>4.0</v>
      </c>
      <c r="K6" s="13">
        <v>5.0</v>
      </c>
      <c r="L6" s="13">
        <v>5.0</v>
      </c>
      <c r="M6" s="13">
        <v>5.0</v>
      </c>
      <c r="N6" s="13">
        <v>5.0</v>
      </c>
      <c r="O6" s="13">
        <v>5.0</v>
      </c>
      <c r="P6" s="13">
        <v>5.0</v>
      </c>
      <c r="Q6" s="12"/>
    </row>
    <row r="7">
      <c r="A7" s="14" t="s">
        <v>11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6"/>
    </row>
    <row r="8">
      <c r="A8" s="11" t="s">
        <v>12</v>
      </c>
      <c r="B8" s="13">
        <v>5.0</v>
      </c>
      <c r="C8" s="13">
        <v>5.0</v>
      </c>
      <c r="D8" s="13">
        <v>5.0</v>
      </c>
      <c r="E8" s="13">
        <v>5.0</v>
      </c>
      <c r="F8" s="13">
        <v>5.0</v>
      </c>
      <c r="G8" s="13">
        <v>5.0</v>
      </c>
      <c r="H8" s="13">
        <v>5.0</v>
      </c>
      <c r="I8" s="13">
        <v>5.0</v>
      </c>
      <c r="J8" s="12"/>
      <c r="K8" s="12"/>
      <c r="L8" s="12"/>
      <c r="M8" s="12"/>
      <c r="N8" s="12"/>
      <c r="O8" s="12"/>
      <c r="P8" s="12"/>
      <c r="Q8" s="12"/>
    </row>
    <row r="9">
      <c r="A9" s="11" t="s">
        <v>13</v>
      </c>
      <c r="B9" s="13">
        <v>15.0</v>
      </c>
      <c r="C9" s="13">
        <v>34.0</v>
      </c>
      <c r="D9" s="13">
        <v>16.0</v>
      </c>
      <c r="E9" s="13">
        <v>23.0</v>
      </c>
      <c r="F9" s="13">
        <v>21.0</v>
      </c>
      <c r="G9" s="13">
        <v>29.0</v>
      </c>
      <c r="H9" s="13">
        <v>22.0</v>
      </c>
      <c r="I9" s="13">
        <v>24.0</v>
      </c>
      <c r="J9" s="12"/>
      <c r="K9" s="12"/>
      <c r="L9" s="12"/>
      <c r="M9" s="12"/>
      <c r="N9" s="12"/>
      <c r="O9" s="12"/>
      <c r="P9" s="12"/>
      <c r="Q9" s="12"/>
    </row>
    <row r="10">
      <c r="A10" s="14" t="s">
        <v>14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6"/>
    </row>
    <row r="11">
      <c r="A11" s="11" t="s">
        <v>15</v>
      </c>
      <c r="B11" s="13">
        <v>16.0</v>
      </c>
      <c r="C11" s="13">
        <v>13.0</v>
      </c>
      <c r="D11" s="13">
        <v>18.0</v>
      </c>
      <c r="E11" s="13">
        <v>20.0</v>
      </c>
      <c r="F11" s="13">
        <v>11.0</v>
      </c>
      <c r="G11" s="13">
        <v>8.0</v>
      </c>
      <c r="H11" s="13">
        <v>13.0</v>
      </c>
      <c r="I11" s="13">
        <v>18.0</v>
      </c>
      <c r="J11" s="12"/>
      <c r="K11" s="12"/>
      <c r="L11" s="12"/>
      <c r="M11" s="12"/>
      <c r="N11" s="12"/>
      <c r="O11" s="12"/>
      <c r="P11" s="12"/>
      <c r="Q11" s="12"/>
    </row>
    <row r="12">
      <c r="A12" s="11" t="s">
        <v>16</v>
      </c>
      <c r="B12" s="13">
        <v>16.0</v>
      </c>
      <c r="C12" s="13">
        <v>17.0</v>
      </c>
      <c r="D12" s="13">
        <v>24.0</v>
      </c>
      <c r="E12" s="13">
        <v>19.0</v>
      </c>
      <c r="F12" s="13">
        <v>27.0</v>
      </c>
      <c r="G12" s="13">
        <v>15.0</v>
      </c>
      <c r="H12" s="13">
        <v>24.0</v>
      </c>
      <c r="I12" s="13">
        <v>28.0</v>
      </c>
      <c r="J12" s="12"/>
      <c r="K12" s="12"/>
      <c r="L12" s="12"/>
      <c r="M12" s="12"/>
      <c r="N12" s="12"/>
      <c r="O12" s="12"/>
      <c r="P12" s="12"/>
      <c r="Q12" s="12"/>
    </row>
    <row r="13">
      <c r="A13" s="11" t="s">
        <v>17</v>
      </c>
      <c r="B13" s="13">
        <v>26.0</v>
      </c>
      <c r="C13" s="13">
        <v>28.0</v>
      </c>
      <c r="D13" s="13">
        <v>25.0</v>
      </c>
      <c r="E13" s="13">
        <v>20.0</v>
      </c>
      <c r="F13" s="13">
        <v>13.0</v>
      </c>
      <c r="G13" s="13">
        <v>16.0</v>
      </c>
      <c r="H13" s="13">
        <v>25.0</v>
      </c>
      <c r="I13" s="13">
        <v>19.0</v>
      </c>
      <c r="J13" s="12"/>
      <c r="K13" s="12"/>
      <c r="L13" s="12"/>
      <c r="M13" s="12"/>
      <c r="N13" s="12"/>
      <c r="O13" s="12"/>
      <c r="P13" s="12"/>
      <c r="Q13" s="12"/>
    </row>
    <row r="14">
      <c r="A14" s="14" t="s">
        <v>18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6"/>
    </row>
    <row r="15">
      <c r="A15" s="11" t="s">
        <v>19</v>
      </c>
      <c r="B15" s="13">
        <v>62029.0</v>
      </c>
      <c r="C15" s="13">
        <v>64517.0</v>
      </c>
      <c r="D15" s="13">
        <v>60816.0</v>
      </c>
      <c r="E15" s="13">
        <v>39898.0</v>
      </c>
      <c r="F15" s="13">
        <v>56183.0</v>
      </c>
      <c r="G15" s="13">
        <v>43581.0</v>
      </c>
      <c r="H15" s="12"/>
      <c r="I15" s="12"/>
      <c r="J15" s="12"/>
      <c r="K15" s="12"/>
      <c r="L15" s="12"/>
      <c r="M15" s="13">
        <v>4099.0</v>
      </c>
      <c r="N15" s="13">
        <v>26091.0</v>
      </c>
      <c r="O15" s="13">
        <v>23709.0</v>
      </c>
      <c r="P15" s="13">
        <v>21828.0</v>
      </c>
      <c r="Q15" s="13">
        <v>21507.0</v>
      </c>
    </row>
    <row r="16">
      <c r="A16" s="11" t="s">
        <v>20</v>
      </c>
      <c r="B16" s="13">
        <v>19.0</v>
      </c>
      <c r="C16" s="13">
        <v>31.0</v>
      </c>
      <c r="D16" s="13">
        <v>26.0</v>
      </c>
      <c r="E16" s="13">
        <v>34.0</v>
      </c>
      <c r="F16" s="13">
        <v>35.0</v>
      </c>
      <c r="G16" s="13">
        <v>120.0</v>
      </c>
      <c r="H16" s="12"/>
      <c r="I16" s="12"/>
      <c r="J16" s="12"/>
      <c r="K16" s="12"/>
      <c r="L16" s="12"/>
      <c r="M16" s="13">
        <v>210.0</v>
      </c>
      <c r="N16" s="13">
        <v>1290.0</v>
      </c>
      <c r="O16" s="13">
        <v>1390.0</v>
      </c>
      <c r="P16" s="13">
        <v>1200.0</v>
      </c>
      <c r="Q16" s="13">
        <v>1330.0</v>
      </c>
    </row>
    <row r="17">
      <c r="A17" s="11" t="s">
        <v>21</v>
      </c>
      <c r="B17" s="16">
        <f t="shared" ref="B17:G17" si="1">B16/B15</f>
        <v>0.0003063083396</v>
      </c>
      <c r="C17" s="16">
        <f t="shared" si="1"/>
        <v>0.0004804935133</v>
      </c>
      <c r="D17" s="16">
        <f t="shared" si="1"/>
        <v>0.0004275190739</v>
      </c>
      <c r="E17" s="16">
        <f t="shared" si="1"/>
        <v>0.0008521730413</v>
      </c>
      <c r="F17" s="16">
        <f t="shared" si="1"/>
        <v>0.0006229642419</v>
      </c>
      <c r="G17" s="16">
        <f t="shared" si="1"/>
        <v>0.002753493495</v>
      </c>
      <c r="H17" s="12"/>
      <c r="I17" s="12"/>
      <c r="J17" s="12"/>
      <c r="K17" s="12"/>
      <c r="L17" s="12"/>
      <c r="M17" s="16">
        <f t="shared" ref="M17:Q17" si="2">M16/M15</f>
        <v>0.05123200781</v>
      </c>
      <c r="N17" s="16">
        <f t="shared" si="2"/>
        <v>0.04944233644</v>
      </c>
      <c r="O17" s="16">
        <f t="shared" si="2"/>
        <v>0.05862752541</v>
      </c>
      <c r="P17" s="16">
        <f t="shared" si="2"/>
        <v>0.05497526113</v>
      </c>
      <c r="Q17" s="16">
        <f t="shared" si="2"/>
        <v>0.06184033106</v>
      </c>
    </row>
    <row r="18">
      <c r="A18" s="11" t="s">
        <v>22</v>
      </c>
      <c r="B18" s="13">
        <v>83.0</v>
      </c>
      <c r="C18" s="13">
        <v>234.0</v>
      </c>
      <c r="D18" s="13">
        <v>177.0</v>
      </c>
      <c r="E18" s="13">
        <v>105.0</v>
      </c>
      <c r="F18" s="13">
        <v>166.0</v>
      </c>
      <c r="G18" s="13">
        <v>170.0</v>
      </c>
      <c r="H18" s="12"/>
      <c r="I18" s="12"/>
      <c r="J18" s="12"/>
      <c r="K18" s="12"/>
      <c r="L18" s="12"/>
      <c r="M18" s="13">
        <v>105.0</v>
      </c>
      <c r="N18" s="13">
        <v>30.0</v>
      </c>
      <c r="O18" s="13">
        <v>35.0</v>
      </c>
      <c r="P18" s="13">
        <v>32.0</v>
      </c>
      <c r="Q18" s="13">
        <v>36.0</v>
      </c>
    </row>
    <row r="19">
      <c r="A19" s="18" t="s">
        <v>23</v>
      </c>
      <c r="B19" s="19">
        <v>231.66</v>
      </c>
      <c r="C19" s="19">
        <v>279.03</v>
      </c>
      <c r="D19" s="19">
        <v>279.41</v>
      </c>
      <c r="E19" s="19">
        <v>212.92</v>
      </c>
      <c r="F19" s="19">
        <v>278.68</v>
      </c>
      <c r="G19" s="19">
        <v>338.1</v>
      </c>
      <c r="H19" s="21"/>
      <c r="I19" s="21"/>
      <c r="J19" s="21"/>
      <c r="K19" s="21"/>
      <c r="L19" s="21"/>
      <c r="M19" s="19">
        <v>9.94</v>
      </c>
      <c r="N19" s="19">
        <v>69.33</v>
      </c>
      <c r="O19" s="19">
        <v>69.36</v>
      </c>
      <c r="P19" s="19">
        <v>70.17</v>
      </c>
      <c r="Q19" s="19">
        <v>68.92</v>
      </c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14" t="s">
        <v>24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6"/>
    </row>
    <row r="21">
      <c r="A21" s="11" t="s">
        <v>19</v>
      </c>
      <c r="B21" s="13">
        <v>3147.0</v>
      </c>
      <c r="C21" s="13">
        <v>2810.0</v>
      </c>
      <c r="D21" s="13">
        <v>2481.0</v>
      </c>
      <c r="E21" s="13">
        <v>2381.0</v>
      </c>
      <c r="F21" s="13">
        <v>2426.0</v>
      </c>
      <c r="G21" s="13">
        <v>2465.0</v>
      </c>
      <c r="H21" s="13">
        <v>2776.0</v>
      </c>
      <c r="I21" s="13">
        <v>2500.0</v>
      </c>
      <c r="J21" s="13">
        <v>2856.0</v>
      </c>
      <c r="K21" s="13">
        <v>2591.0</v>
      </c>
      <c r="L21" s="13">
        <v>3230.0</v>
      </c>
      <c r="M21" s="13">
        <v>3875.0</v>
      </c>
      <c r="N21" s="13">
        <v>4623.0</v>
      </c>
      <c r="O21" s="13">
        <v>3842.0</v>
      </c>
      <c r="P21" s="13">
        <v>3908.0</v>
      </c>
      <c r="Q21" s="13">
        <v>3379.0</v>
      </c>
    </row>
    <row r="22">
      <c r="A22" s="11" t="s">
        <v>20</v>
      </c>
      <c r="B22" s="13">
        <v>163.0</v>
      </c>
      <c r="C22" s="13">
        <v>192.0</v>
      </c>
      <c r="D22" s="13">
        <v>191.0</v>
      </c>
      <c r="E22" s="13">
        <v>210.0</v>
      </c>
      <c r="F22" s="13">
        <v>203.0</v>
      </c>
      <c r="G22" s="13">
        <v>198.0</v>
      </c>
      <c r="H22" s="13">
        <v>225.0</v>
      </c>
      <c r="I22" s="13">
        <v>223.0</v>
      </c>
      <c r="J22" s="13">
        <v>226.0</v>
      </c>
      <c r="K22" s="13">
        <v>186.0</v>
      </c>
      <c r="L22" s="13">
        <v>240.0</v>
      </c>
      <c r="M22" s="13">
        <v>258.0</v>
      </c>
      <c r="N22" s="13">
        <v>360.0</v>
      </c>
      <c r="O22" s="13">
        <v>422.0</v>
      </c>
      <c r="P22" s="13">
        <v>307.0</v>
      </c>
      <c r="Q22" s="13">
        <v>281.0</v>
      </c>
    </row>
    <row r="23">
      <c r="A23" s="11" t="s">
        <v>21</v>
      </c>
      <c r="B23" s="16">
        <f t="shared" ref="B23:Q23" si="3">B22/B21</f>
        <v>0.05179536066</v>
      </c>
      <c r="C23" s="16">
        <f t="shared" si="3"/>
        <v>0.06832740214</v>
      </c>
      <c r="D23" s="16">
        <f t="shared" si="3"/>
        <v>0.07698508666</v>
      </c>
      <c r="E23" s="16">
        <f t="shared" si="3"/>
        <v>0.08819823604</v>
      </c>
      <c r="F23" s="16">
        <f t="shared" si="3"/>
        <v>0.0836768343</v>
      </c>
      <c r="G23" s="16">
        <f t="shared" si="3"/>
        <v>0.08032454361</v>
      </c>
      <c r="H23" s="16">
        <f t="shared" si="3"/>
        <v>0.0810518732</v>
      </c>
      <c r="I23" s="16">
        <f t="shared" si="3"/>
        <v>0.0892</v>
      </c>
      <c r="J23" s="16">
        <f t="shared" si="3"/>
        <v>0.07913165266</v>
      </c>
      <c r="K23" s="16">
        <f t="shared" si="3"/>
        <v>0.07178695484</v>
      </c>
      <c r="L23" s="16">
        <f t="shared" si="3"/>
        <v>0.07430340557</v>
      </c>
      <c r="M23" s="16">
        <f t="shared" si="3"/>
        <v>0.06658064516</v>
      </c>
      <c r="N23" s="16">
        <f t="shared" si="3"/>
        <v>0.07787151201</v>
      </c>
      <c r="O23" s="16">
        <f t="shared" si="3"/>
        <v>0.1098386257</v>
      </c>
      <c r="P23" s="16">
        <f t="shared" si="3"/>
        <v>0.07855680655</v>
      </c>
      <c r="Q23" s="16">
        <f t="shared" si="3"/>
        <v>0.08316069843</v>
      </c>
    </row>
    <row r="24">
      <c r="A24" s="11" t="s">
        <v>25</v>
      </c>
      <c r="B24" s="21">
        <f t="shared" ref="B24:Q24" si="4">B28/B22</f>
        <v>4.580306748</v>
      </c>
      <c r="C24" s="21">
        <f t="shared" si="4"/>
        <v>3.943125</v>
      </c>
      <c r="D24" s="21">
        <f t="shared" si="4"/>
        <v>3.624816754</v>
      </c>
      <c r="E24" s="21">
        <f t="shared" si="4"/>
        <v>3.167190476</v>
      </c>
      <c r="F24" s="21">
        <f t="shared" si="4"/>
        <v>3.552167488</v>
      </c>
      <c r="G24" s="21">
        <f t="shared" si="4"/>
        <v>3.556464646</v>
      </c>
      <c r="H24" s="21">
        <f t="shared" si="4"/>
        <v>3.052444444</v>
      </c>
      <c r="I24" s="21">
        <f t="shared" si="4"/>
        <v>2.857174888</v>
      </c>
      <c r="J24" s="21">
        <f t="shared" si="4"/>
        <v>2.868141593</v>
      </c>
      <c r="K24" s="21">
        <f t="shared" si="4"/>
        <v>4.152903226</v>
      </c>
      <c r="L24" s="21">
        <f t="shared" si="4"/>
        <v>3.665833333</v>
      </c>
      <c r="M24" s="21">
        <f t="shared" si="4"/>
        <v>3.390426357</v>
      </c>
      <c r="N24" s="21">
        <f t="shared" si="4"/>
        <v>2.383833333</v>
      </c>
      <c r="O24" s="21">
        <f t="shared" si="4"/>
        <v>2.167180095</v>
      </c>
      <c r="P24" s="21">
        <f t="shared" si="4"/>
        <v>3.030749186</v>
      </c>
      <c r="Q24" s="21">
        <f t="shared" si="4"/>
        <v>2.91683274</v>
      </c>
    </row>
    <row r="25">
      <c r="A25" s="11" t="s">
        <v>22</v>
      </c>
      <c r="B25" s="13">
        <v>14.0</v>
      </c>
      <c r="C25" s="13">
        <v>18.0</v>
      </c>
      <c r="D25" s="13">
        <v>23.0</v>
      </c>
      <c r="E25" s="13">
        <v>29.0</v>
      </c>
      <c r="F25" s="13">
        <v>19.0</v>
      </c>
      <c r="G25" s="13">
        <v>20.0</v>
      </c>
      <c r="H25" s="13">
        <v>26.0</v>
      </c>
      <c r="I25" s="13">
        <v>33.0</v>
      </c>
      <c r="J25" s="13">
        <v>25.0</v>
      </c>
      <c r="K25" s="13">
        <v>28.0</v>
      </c>
      <c r="L25" s="13">
        <v>32.0</v>
      </c>
      <c r="M25" s="13">
        <v>26.0</v>
      </c>
      <c r="N25" s="13">
        <v>49.0</v>
      </c>
      <c r="O25" s="13">
        <v>29.0</v>
      </c>
      <c r="P25" s="13">
        <v>41.0</v>
      </c>
      <c r="Q25" s="13">
        <v>33.0</v>
      </c>
    </row>
    <row r="26">
      <c r="A26" s="11" t="s">
        <v>26</v>
      </c>
      <c r="B26" s="16">
        <f t="shared" ref="B26:Q26" si="5">B25/B22</f>
        <v>0.08588957055</v>
      </c>
      <c r="C26" s="16">
        <f t="shared" si="5"/>
        <v>0.09375</v>
      </c>
      <c r="D26" s="16">
        <f t="shared" si="5"/>
        <v>0.1204188482</v>
      </c>
      <c r="E26" s="16">
        <f t="shared" si="5"/>
        <v>0.1380952381</v>
      </c>
      <c r="F26" s="16">
        <f t="shared" si="5"/>
        <v>0.09359605911</v>
      </c>
      <c r="G26" s="16">
        <f t="shared" si="5"/>
        <v>0.101010101</v>
      </c>
      <c r="H26" s="16">
        <f t="shared" si="5"/>
        <v>0.1155555556</v>
      </c>
      <c r="I26" s="16">
        <f t="shared" si="5"/>
        <v>0.1479820628</v>
      </c>
      <c r="J26" s="16">
        <f t="shared" si="5"/>
        <v>0.110619469</v>
      </c>
      <c r="K26" s="16">
        <f t="shared" si="5"/>
        <v>0.1505376344</v>
      </c>
      <c r="L26" s="16">
        <f t="shared" si="5"/>
        <v>0.1333333333</v>
      </c>
      <c r="M26" s="16">
        <f t="shared" si="5"/>
        <v>0.1007751938</v>
      </c>
      <c r="N26" s="16">
        <f t="shared" si="5"/>
        <v>0.1361111111</v>
      </c>
      <c r="O26" s="16">
        <f t="shared" si="5"/>
        <v>0.06872037915</v>
      </c>
      <c r="P26" s="16">
        <f t="shared" si="5"/>
        <v>0.1335504886</v>
      </c>
      <c r="Q26" s="16">
        <f t="shared" si="5"/>
        <v>0.1174377224</v>
      </c>
    </row>
    <row r="27">
      <c r="A27" s="11" t="s">
        <v>27</v>
      </c>
      <c r="B27" s="21">
        <f t="shared" ref="B27:Q27" si="6">B28/B25</f>
        <v>53.32785714</v>
      </c>
      <c r="C27" s="21">
        <f t="shared" si="6"/>
        <v>42.06</v>
      </c>
      <c r="D27" s="21">
        <f t="shared" si="6"/>
        <v>30.10173913</v>
      </c>
      <c r="E27" s="21">
        <f t="shared" si="6"/>
        <v>22.93482759</v>
      </c>
      <c r="F27" s="21">
        <f t="shared" si="6"/>
        <v>37.95210526</v>
      </c>
      <c r="G27" s="21">
        <f t="shared" si="6"/>
        <v>35.209</v>
      </c>
      <c r="H27" s="21">
        <f t="shared" si="6"/>
        <v>26.41538462</v>
      </c>
      <c r="I27" s="21">
        <f t="shared" si="6"/>
        <v>19.30757576</v>
      </c>
      <c r="J27" s="21">
        <f t="shared" si="6"/>
        <v>25.928</v>
      </c>
      <c r="K27" s="21">
        <f t="shared" si="6"/>
        <v>27.58714286</v>
      </c>
      <c r="L27" s="21">
        <f t="shared" si="6"/>
        <v>27.49375</v>
      </c>
      <c r="M27" s="21">
        <f t="shared" si="6"/>
        <v>33.64346154</v>
      </c>
      <c r="N27" s="21">
        <f t="shared" si="6"/>
        <v>17.51387755</v>
      </c>
      <c r="O27" s="21">
        <f t="shared" si="6"/>
        <v>31.5362069</v>
      </c>
      <c r="P27" s="21">
        <f t="shared" si="6"/>
        <v>22.69365854</v>
      </c>
      <c r="Q27" s="21">
        <f t="shared" si="6"/>
        <v>24.83727273</v>
      </c>
    </row>
    <row r="28">
      <c r="A28" s="18" t="s">
        <v>28</v>
      </c>
      <c r="B28" s="19">
        <v>746.59</v>
      </c>
      <c r="C28" s="19">
        <v>757.08</v>
      </c>
      <c r="D28" s="19">
        <v>692.34</v>
      </c>
      <c r="E28" s="19">
        <v>665.11</v>
      </c>
      <c r="F28" s="19">
        <v>721.09</v>
      </c>
      <c r="G28" s="19">
        <v>704.18</v>
      </c>
      <c r="H28" s="19">
        <v>686.8</v>
      </c>
      <c r="I28" s="19">
        <v>637.15</v>
      </c>
      <c r="J28" s="19">
        <v>648.2</v>
      </c>
      <c r="K28" s="19">
        <v>772.44</v>
      </c>
      <c r="L28" s="19">
        <v>879.8</v>
      </c>
      <c r="M28" s="19">
        <v>874.73</v>
      </c>
      <c r="N28" s="19">
        <v>858.18</v>
      </c>
      <c r="O28" s="19">
        <v>914.55</v>
      </c>
      <c r="P28" s="19">
        <v>930.44</v>
      </c>
      <c r="Q28" s="19">
        <v>819.63</v>
      </c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10" t="s">
        <v>50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6"/>
    </row>
    <row r="30">
      <c r="A30" s="11" t="s">
        <v>19</v>
      </c>
      <c r="B30" s="13">
        <v>15841.0</v>
      </c>
      <c r="C30" s="13">
        <v>22885.0</v>
      </c>
      <c r="D30" s="13">
        <v>20654.0</v>
      </c>
      <c r="E30" s="13">
        <v>15521.0</v>
      </c>
      <c r="F30" s="13">
        <v>29405.0</v>
      </c>
      <c r="G30" s="13">
        <v>33059.0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>
      <c r="A31" s="11" t="s">
        <v>20</v>
      </c>
      <c r="B31" s="13">
        <v>20.0</v>
      </c>
      <c r="C31" s="13">
        <v>27.0</v>
      </c>
      <c r="D31" s="13">
        <v>13.0</v>
      </c>
      <c r="E31" s="13">
        <v>22.0</v>
      </c>
      <c r="F31" s="13">
        <v>22.0</v>
      </c>
      <c r="G31" s="13">
        <v>34.0</v>
      </c>
      <c r="H31" s="12"/>
      <c r="I31" s="12"/>
      <c r="J31" s="12"/>
      <c r="K31" s="12"/>
      <c r="L31" s="12"/>
      <c r="M31" s="12"/>
      <c r="N31" s="13"/>
      <c r="O31" s="13"/>
      <c r="P31" s="13"/>
      <c r="Q31" s="13"/>
    </row>
    <row r="32">
      <c r="A32" s="11" t="s">
        <v>21</v>
      </c>
      <c r="B32" s="16">
        <f t="shared" ref="B32:G32" si="7">B31/B30</f>
        <v>0.001262546556</v>
      </c>
      <c r="C32" s="16">
        <f t="shared" si="7"/>
        <v>0.001179812104</v>
      </c>
      <c r="D32" s="16">
        <f t="shared" si="7"/>
        <v>0.0006294180304</v>
      </c>
      <c r="E32" s="16">
        <f t="shared" si="7"/>
        <v>0.001417434444</v>
      </c>
      <c r="F32" s="16">
        <f t="shared" si="7"/>
        <v>0.0007481720796</v>
      </c>
      <c r="G32" s="16">
        <f t="shared" si="7"/>
        <v>0.001028464261</v>
      </c>
      <c r="H32" s="12"/>
      <c r="I32" s="12"/>
      <c r="J32" s="12"/>
      <c r="K32" s="12"/>
      <c r="L32" s="12"/>
      <c r="M32" s="12"/>
      <c r="N32" s="13"/>
      <c r="O32" s="13"/>
      <c r="P32" s="13"/>
      <c r="Q32" s="13"/>
    </row>
    <row r="33">
      <c r="A33" s="23" t="s">
        <v>51</v>
      </c>
      <c r="B33" s="21">
        <f t="shared" ref="B33:G33" si="8">B34/B31</f>
        <v>2.971</v>
      </c>
      <c r="C33" s="21">
        <f t="shared" si="8"/>
        <v>3.407777778</v>
      </c>
      <c r="D33" s="21">
        <f t="shared" si="8"/>
        <v>6.020769231</v>
      </c>
      <c r="E33" s="21">
        <f t="shared" si="8"/>
        <v>2.456363636</v>
      </c>
      <c r="F33" s="21">
        <f t="shared" si="8"/>
        <v>3.997272727</v>
      </c>
      <c r="G33" s="21">
        <f t="shared" si="8"/>
        <v>2.709705882</v>
      </c>
      <c r="H33" s="12"/>
      <c r="I33" s="12"/>
      <c r="J33" s="12"/>
      <c r="K33" s="12"/>
      <c r="L33" s="12"/>
      <c r="M33" s="12"/>
      <c r="N33" s="41"/>
      <c r="O33" s="41"/>
      <c r="P33" s="41"/>
      <c r="Q33" s="41"/>
    </row>
    <row r="34">
      <c r="A34" s="42" t="s">
        <v>28</v>
      </c>
      <c r="B34" s="19">
        <v>59.42</v>
      </c>
      <c r="C34" s="19">
        <v>92.01</v>
      </c>
      <c r="D34" s="19">
        <v>78.27</v>
      </c>
      <c r="E34" s="19">
        <v>54.04</v>
      </c>
      <c r="F34" s="19">
        <v>87.94</v>
      </c>
      <c r="G34" s="19">
        <v>92.13</v>
      </c>
      <c r="H34" s="21"/>
      <c r="I34" s="21"/>
      <c r="J34" s="21"/>
      <c r="K34" s="21"/>
      <c r="L34" s="21"/>
      <c r="M34" s="21"/>
      <c r="N34" s="41"/>
      <c r="O34" s="41"/>
      <c r="P34" s="41"/>
      <c r="Q34" s="41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10" t="s">
        <v>52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6"/>
    </row>
    <row r="36">
      <c r="A36" s="22" t="s">
        <v>30</v>
      </c>
      <c r="B36" s="12"/>
      <c r="C36" s="12"/>
      <c r="D36" s="12"/>
      <c r="E36" s="12"/>
      <c r="F36" s="12"/>
      <c r="G36" s="12"/>
      <c r="H36" s="12"/>
      <c r="I36" s="12"/>
      <c r="J36" s="41"/>
      <c r="K36" s="41"/>
      <c r="L36" s="41"/>
      <c r="M36" s="41"/>
      <c r="N36" s="12"/>
      <c r="O36" s="12"/>
      <c r="P36" s="12"/>
      <c r="Q36" s="12"/>
    </row>
    <row r="37">
      <c r="A37" s="11" t="s">
        <v>31</v>
      </c>
      <c r="B37" s="13">
        <v>3.0</v>
      </c>
      <c r="C37" s="13">
        <v>3.0</v>
      </c>
      <c r="D37" s="13">
        <v>2.0</v>
      </c>
      <c r="E37" s="13">
        <v>2.0</v>
      </c>
      <c r="F37" s="13">
        <v>6.0</v>
      </c>
      <c r="G37" s="13">
        <v>4.0</v>
      </c>
      <c r="H37" s="13">
        <v>7.0</v>
      </c>
      <c r="I37" s="13">
        <v>4.0</v>
      </c>
      <c r="J37" s="13">
        <v>2.0</v>
      </c>
      <c r="K37" s="13">
        <v>3.0</v>
      </c>
      <c r="L37" s="13">
        <v>4.0</v>
      </c>
      <c r="M37" s="13">
        <v>2.0</v>
      </c>
      <c r="N37" s="13">
        <v>2.0</v>
      </c>
      <c r="O37" s="13">
        <v>3.0</v>
      </c>
      <c r="P37" s="13">
        <v>3.0</v>
      </c>
      <c r="Q37" s="13">
        <v>2.0</v>
      </c>
    </row>
    <row r="38">
      <c r="A38" s="23" t="s">
        <v>32</v>
      </c>
      <c r="B38" s="13" t="s">
        <v>53</v>
      </c>
      <c r="C38" s="13" t="s">
        <v>54</v>
      </c>
      <c r="D38" s="13" t="s">
        <v>55</v>
      </c>
      <c r="E38" s="13" t="s">
        <v>56</v>
      </c>
      <c r="F38" s="13" t="s">
        <v>57</v>
      </c>
      <c r="G38" s="13" t="s">
        <v>58</v>
      </c>
      <c r="H38" s="13" t="s">
        <v>59</v>
      </c>
      <c r="I38" s="13" t="s">
        <v>60</v>
      </c>
      <c r="J38" s="13" t="s">
        <v>61</v>
      </c>
      <c r="K38" s="13" t="s">
        <v>62</v>
      </c>
      <c r="L38" s="13" t="s">
        <v>63</v>
      </c>
      <c r="M38" s="13" t="s">
        <v>64</v>
      </c>
      <c r="N38" s="13" t="s">
        <v>61</v>
      </c>
      <c r="O38" s="13" t="s">
        <v>65</v>
      </c>
      <c r="P38" s="13" t="s">
        <v>66</v>
      </c>
      <c r="Q38" s="13" t="s">
        <v>67</v>
      </c>
    </row>
    <row r="39" ht="44.25" customHeight="1">
      <c r="A39" s="24" t="s">
        <v>45</v>
      </c>
      <c r="B39" s="26">
        <v>53.0</v>
      </c>
      <c r="C39" s="26">
        <v>50.0</v>
      </c>
      <c r="D39" s="26">
        <v>53.0</v>
      </c>
      <c r="E39" s="26">
        <v>70.0</v>
      </c>
      <c r="F39" s="26">
        <v>46.0</v>
      </c>
      <c r="G39" s="26">
        <v>52.0</v>
      </c>
      <c r="H39" s="25">
        <v>69.0</v>
      </c>
      <c r="I39" s="25">
        <v>96.0</v>
      </c>
      <c r="J39" s="25">
        <v>76.0</v>
      </c>
      <c r="K39" s="25">
        <v>48.0</v>
      </c>
      <c r="L39" s="25">
        <v>43.0</v>
      </c>
      <c r="M39" s="25">
        <v>46.0</v>
      </c>
      <c r="N39" s="25">
        <v>54.0</v>
      </c>
      <c r="O39" s="25">
        <v>49.0</v>
      </c>
      <c r="P39" s="25">
        <v>51.0</v>
      </c>
      <c r="Q39" s="25">
        <v>64.0</v>
      </c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 t="s">
        <v>46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>
        <v>13.0</v>
      </c>
      <c r="N40" s="29">
        <v>4.0</v>
      </c>
      <c r="O40" s="29">
        <v>15.0</v>
      </c>
      <c r="P40" s="29">
        <v>11.0</v>
      </c>
      <c r="Q40" s="29">
        <v>9.0</v>
      </c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1" t="s">
        <v>47</v>
      </c>
      <c r="B41" s="32">
        <f t="shared" ref="B41:L41" si="9">B40/(SUM(B31,B24))</f>
        <v>0</v>
      </c>
      <c r="C41" s="32">
        <f t="shared" si="9"/>
        <v>0</v>
      </c>
      <c r="D41" s="32">
        <f t="shared" si="9"/>
        <v>0</v>
      </c>
      <c r="E41" s="32">
        <f t="shared" si="9"/>
        <v>0</v>
      </c>
      <c r="F41" s="32">
        <f t="shared" si="9"/>
        <v>0</v>
      </c>
      <c r="G41" s="32">
        <f t="shared" si="9"/>
        <v>0</v>
      </c>
      <c r="H41" s="32">
        <f t="shared" si="9"/>
        <v>0</v>
      </c>
      <c r="I41" s="32">
        <f t="shared" si="9"/>
        <v>0</v>
      </c>
      <c r="J41" s="32">
        <f t="shared" si="9"/>
        <v>0</v>
      </c>
      <c r="K41" s="32">
        <f t="shared" si="9"/>
        <v>0</v>
      </c>
      <c r="L41" s="32">
        <f t="shared" si="9"/>
        <v>0</v>
      </c>
      <c r="M41" s="32">
        <f t="shared" ref="M41:Q41" si="10">M40/(SUM(M18,M25))</f>
        <v>0.09923664122</v>
      </c>
      <c r="N41" s="32">
        <f t="shared" si="10"/>
        <v>0.05063291139</v>
      </c>
      <c r="O41" s="32">
        <f t="shared" si="10"/>
        <v>0.234375</v>
      </c>
      <c r="P41" s="32">
        <f t="shared" si="10"/>
        <v>0.1506849315</v>
      </c>
      <c r="Q41" s="32">
        <f t="shared" si="10"/>
        <v>0.1304347826</v>
      </c>
    </row>
    <row r="42">
      <c r="A42" s="33" t="s">
        <v>48</v>
      </c>
      <c r="B42" s="34"/>
      <c r="C42" s="36"/>
      <c r="D42" s="36"/>
      <c r="E42" s="36"/>
      <c r="F42" s="36"/>
      <c r="G42" s="36"/>
      <c r="H42" s="35">
        <v>10.0</v>
      </c>
      <c r="I42" s="35">
        <f>I39/7</f>
        <v>13.71428571</v>
      </c>
      <c r="J42" s="36">
        <f t="shared" ref="J42:L42" si="11">I39/7</f>
        <v>13.71428571</v>
      </c>
      <c r="K42" s="36">
        <f t="shared" si="11"/>
        <v>10.85714286</v>
      </c>
      <c r="L42" s="36">
        <f t="shared" si="11"/>
        <v>6.857142857</v>
      </c>
      <c r="M42" s="36">
        <f t="shared" ref="M42:Q42" si="12">M39/7</f>
        <v>6.571428571</v>
      </c>
      <c r="N42" s="36">
        <f t="shared" si="12"/>
        <v>7.714285714</v>
      </c>
      <c r="O42" s="36">
        <f t="shared" si="12"/>
        <v>7</v>
      </c>
      <c r="P42" s="36">
        <f t="shared" si="12"/>
        <v>7.285714286</v>
      </c>
      <c r="Q42" s="36">
        <f t="shared" si="12"/>
        <v>9.142857143</v>
      </c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38"/>
    </row>
    <row r="44">
      <c r="A44" s="38"/>
    </row>
    <row r="45">
      <c r="A45" s="38"/>
    </row>
    <row r="46">
      <c r="A46" s="38"/>
    </row>
    <row r="47">
      <c r="A47" s="38"/>
    </row>
    <row r="48">
      <c r="A48" s="38"/>
    </row>
    <row r="49">
      <c r="A49" s="38"/>
    </row>
    <row r="50">
      <c r="A50" s="38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</sheetData>
  <mergeCells count="29">
    <mergeCell ref="Q3:Q4"/>
    <mergeCell ref="A5:Q5"/>
    <mergeCell ref="A7:Q7"/>
    <mergeCell ref="A10:Q10"/>
    <mergeCell ref="A14:Q14"/>
    <mergeCell ref="A20:Q20"/>
    <mergeCell ref="A29:Q29"/>
    <mergeCell ref="A35:Q35"/>
    <mergeCell ref="A1:Q1"/>
    <mergeCell ref="B2:E2"/>
    <mergeCell ref="F2:I2"/>
    <mergeCell ref="J2:M2"/>
    <mergeCell ref="N2:Q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0.0"/>
    <col customWidth="1" min="2" max="16" width="7.63"/>
    <col customWidth="1" min="17" max="17" width="7.13"/>
  </cols>
  <sheetData>
    <row r="1" ht="36.75" customHeight="1">
      <c r="A1" s="1">
        <v>29.0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/>
      <c r="B2" s="4" t="s">
        <v>1</v>
      </c>
      <c r="C2" s="5"/>
      <c r="D2" s="5"/>
      <c r="E2" s="6"/>
      <c r="F2" s="4" t="s">
        <v>2</v>
      </c>
      <c r="G2" s="5"/>
      <c r="H2" s="5"/>
      <c r="I2" s="6"/>
      <c r="J2" s="4" t="s">
        <v>3</v>
      </c>
      <c r="K2" s="5"/>
      <c r="L2" s="5"/>
      <c r="M2" s="6"/>
      <c r="N2" s="4" t="s">
        <v>4</v>
      </c>
      <c r="O2" s="5"/>
      <c r="P2" s="5"/>
      <c r="Q2" s="6"/>
    </row>
    <row r="3">
      <c r="A3" s="7"/>
      <c r="B3" s="8" t="s">
        <v>5</v>
      </c>
      <c r="C3" s="8" t="s">
        <v>6</v>
      </c>
      <c r="D3" s="8" t="s">
        <v>7</v>
      </c>
      <c r="E3" s="8" t="s">
        <v>8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5</v>
      </c>
      <c r="K3" s="8" t="s">
        <v>6</v>
      </c>
      <c r="L3" s="8" t="s">
        <v>7</v>
      </c>
      <c r="M3" s="8" t="s">
        <v>8</v>
      </c>
      <c r="N3" s="8" t="s">
        <v>5</v>
      </c>
      <c r="O3" s="8" t="s">
        <v>6</v>
      </c>
      <c r="P3" s="8" t="s">
        <v>7</v>
      </c>
      <c r="Q3" s="8" t="s">
        <v>8</v>
      </c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>
      <c r="A5" s="10" t="s">
        <v>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/>
    </row>
    <row r="6">
      <c r="A6" s="11" t="s">
        <v>10</v>
      </c>
      <c r="B6" s="13">
        <v>6.0</v>
      </c>
      <c r="C6" s="13">
        <v>6.0</v>
      </c>
      <c r="D6" s="13">
        <v>6.0</v>
      </c>
      <c r="E6" s="13">
        <v>6.0</v>
      </c>
      <c r="F6" s="13">
        <v>6.0</v>
      </c>
      <c r="G6" s="13">
        <v>6.0</v>
      </c>
      <c r="H6" s="13">
        <v>5.0</v>
      </c>
      <c r="I6" s="13">
        <v>5.0</v>
      </c>
      <c r="J6" s="13">
        <v>4.0</v>
      </c>
      <c r="K6" s="13">
        <v>5.0</v>
      </c>
      <c r="L6" s="13">
        <v>5.0</v>
      </c>
      <c r="M6" s="13">
        <v>5.0</v>
      </c>
      <c r="N6" s="13">
        <v>5.0</v>
      </c>
      <c r="O6" s="13">
        <v>5.0</v>
      </c>
      <c r="P6" s="13">
        <v>5.0</v>
      </c>
      <c r="Q6" s="12"/>
    </row>
    <row r="7">
      <c r="A7" s="14" t="s">
        <v>11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6"/>
    </row>
    <row r="8">
      <c r="A8" s="11" t="s">
        <v>12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</row>
    <row r="9">
      <c r="A9" s="11" t="s">
        <v>13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>
      <c r="A10" s="14" t="s">
        <v>14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6"/>
    </row>
    <row r="11">
      <c r="A11" s="11" t="s">
        <v>15</v>
      </c>
      <c r="B11" s="13">
        <v>0.0</v>
      </c>
      <c r="C11" s="13">
        <v>2.0</v>
      </c>
      <c r="D11" s="13">
        <v>3.0</v>
      </c>
      <c r="E11" s="13">
        <v>0.0</v>
      </c>
      <c r="F11" s="13">
        <v>0.0</v>
      </c>
      <c r="G11" s="13">
        <v>1.0</v>
      </c>
      <c r="H11" s="13">
        <v>2.0</v>
      </c>
      <c r="I11" s="13">
        <v>3.0</v>
      </c>
      <c r="J11" s="12"/>
      <c r="K11" s="12"/>
      <c r="L11" s="12"/>
      <c r="M11" s="12"/>
      <c r="N11" s="12"/>
      <c r="O11" s="12"/>
      <c r="P11" s="12"/>
      <c r="Q11" s="12"/>
    </row>
    <row r="12">
      <c r="A12" s="11" t="s">
        <v>16</v>
      </c>
      <c r="B12" s="13">
        <v>11.0</v>
      </c>
      <c r="C12" s="13">
        <v>7.0</v>
      </c>
      <c r="D12" s="13">
        <v>7.0</v>
      </c>
      <c r="E12" s="13">
        <v>7.0</v>
      </c>
      <c r="F12" s="13">
        <v>8.0</v>
      </c>
      <c r="G12" s="13">
        <v>9.0</v>
      </c>
      <c r="H12" s="13">
        <v>6.0</v>
      </c>
      <c r="I12" s="13">
        <v>5.0</v>
      </c>
      <c r="J12" s="12"/>
      <c r="K12" s="12"/>
      <c r="L12" s="12"/>
      <c r="M12" s="12"/>
      <c r="N12" s="12"/>
      <c r="O12" s="12"/>
      <c r="P12" s="12"/>
      <c r="Q12" s="12"/>
    </row>
    <row r="13">
      <c r="A13" s="11" t="s">
        <v>17</v>
      </c>
      <c r="B13" s="13">
        <v>2.0</v>
      </c>
      <c r="C13" s="13">
        <v>9.0</v>
      </c>
      <c r="D13" s="13">
        <v>5.0</v>
      </c>
      <c r="E13" s="13">
        <v>8.0</v>
      </c>
      <c r="F13" s="13">
        <v>3.0</v>
      </c>
      <c r="G13" s="13">
        <v>5.0</v>
      </c>
      <c r="H13" s="13">
        <v>4.0</v>
      </c>
      <c r="I13" s="13">
        <v>3.0</v>
      </c>
      <c r="J13" s="12"/>
      <c r="K13" s="12"/>
      <c r="L13" s="12"/>
      <c r="M13" s="12"/>
      <c r="N13" s="12"/>
      <c r="O13" s="12"/>
      <c r="P13" s="12"/>
      <c r="Q13" s="12"/>
    </row>
    <row r="14">
      <c r="A14" s="14" t="s">
        <v>18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6"/>
    </row>
    <row r="15">
      <c r="A15" s="11" t="s">
        <v>19</v>
      </c>
      <c r="B15" s="13">
        <v>8845.0</v>
      </c>
      <c r="C15" s="13">
        <v>13497.0</v>
      </c>
      <c r="D15" s="13">
        <v>17120.0</v>
      </c>
      <c r="E15" s="13">
        <v>16112.0</v>
      </c>
      <c r="F15" s="13">
        <v>18502.0</v>
      </c>
      <c r="G15" s="13">
        <v>19964.0</v>
      </c>
      <c r="H15" s="13">
        <v>26080.0</v>
      </c>
      <c r="I15" s="13">
        <v>57646.0</v>
      </c>
      <c r="J15" s="13">
        <v>72183.0</v>
      </c>
      <c r="K15" s="13">
        <v>90059.0</v>
      </c>
      <c r="L15" s="13">
        <v>104802.0</v>
      </c>
      <c r="M15" s="13">
        <v>104880.0</v>
      </c>
      <c r="N15" s="13">
        <v>81814.0</v>
      </c>
      <c r="O15" s="13">
        <v>58878.0</v>
      </c>
      <c r="P15" s="13">
        <v>34355.0</v>
      </c>
      <c r="Q15" s="13">
        <v>29779.0</v>
      </c>
    </row>
    <row r="16">
      <c r="A16" s="11" t="s">
        <v>20</v>
      </c>
      <c r="B16" s="13">
        <v>227.0</v>
      </c>
      <c r="C16" s="13">
        <v>311.0</v>
      </c>
      <c r="D16" s="13">
        <v>242.0</v>
      </c>
      <c r="E16" s="13">
        <v>192.0</v>
      </c>
      <c r="F16" s="13">
        <v>218.0</v>
      </c>
      <c r="G16" s="13">
        <v>183.0</v>
      </c>
      <c r="H16" s="13">
        <v>238.0</v>
      </c>
      <c r="I16" s="13">
        <v>414.0</v>
      </c>
      <c r="J16" s="13">
        <v>452.0</v>
      </c>
      <c r="K16" s="13">
        <v>553.0</v>
      </c>
      <c r="L16" s="13">
        <v>688.0</v>
      </c>
      <c r="M16" s="13">
        <v>672.0</v>
      </c>
      <c r="N16" s="13">
        <v>601.0</v>
      </c>
      <c r="O16" s="13">
        <v>542.0</v>
      </c>
      <c r="P16" s="13">
        <v>360.0</v>
      </c>
      <c r="Q16" s="13">
        <v>348.0</v>
      </c>
    </row>
    <row r="17">
      <c r="A17" s="11" t="s">
        <v>21</v>
      </c>
      <c r="B17" s="16">
        <f t="shared" ref="B17:Q17" si="1">B16/B15</f>
        <v>0.02566421707</v>
      </c>
      <c r="C17" s="16">
        <f t="shared" si="1"/>
        <v>0.02304215752</v>
      </c>
      <c r="D17" s="16">
        <f t="shared" si="1"/>
        <v>0.01413551402</v>
      </c>
      <c r="E17" s="16">
        <f t="shared" si="1"/>
        <v>0.01191658391</v>
      </c>
      <c r="F17" s="16">
        <f t="shared" si="1"/>
        <v>0.01178251</v>
      </c>
      <c r="G17" s="16">
        <f t="shared" si="1"/>
        <v>0.009166499699</v>
      </c>
      <c r="H17" s="16">
        <f t="shared" si="1"/>
        <v>0.009125766871</v>
      </c>
      <c r="I17" s="16">
        <f t="shared" si="1"/>
        <v>0.007181764563</v>
      </c>
      <c r="J17" s="16">
        <f t="shared" si="1"/>
        <v>0.006261862211</v>
      </c>
      <c r="K17" s="16">
        <f t="shared" si="1"/>
        <v>0.006140419059</v>
      </c>
      <c r="L17" s="16">
        <f t="shared" si="1"/>
        <v>0.006564760214</v>
      </c>
      <c r="M17" s="16">
        <f t="shared" si="1"/>
        <v>0.006407322654</v>
      </c>
      <c r="N17" s="16">
        <f t="shared" si="1"/>
        <v>0.007345931014</v>
      </c>
      <c r="O17" s="16">
        <f t="shared" si="1"/>
        <v>0.009205475729</v>
      </c>
      <c r="P17" s="16">
        <f t="shared" si="1"/>
        <v>0.01047882404</v>
      </c>
      <c r="Q17" s="16">
        <f t="shared" si="1"/>
        <v>0.01168608751</v>
      </c>
    </row>
    <row r="18">
      <c r="A18" s="11" t="s">
        <v>22</v>
      </c>
      <c r="B18" s="13">
        <v>4.0</v>
      </c>
      <c r="C18" s="13">
        <v>16.0</v>
      </c>
      <c r="D18" s="13">
        <v>22.0</v>
      </c>
      <c r="E18" s="13">
        <v>15.0</v>
      </c>
      <c r="F18" s="13">
        <v>12.0</v>
      </c>
      <c r="G18" s="13">
        <v>17.0</v>
      </c>
      <c r="H18" s="13">
        <v>31.0</v>
      </c>
      <c r="I18" s="13">
        <v>30.0</v>
      </c>
      <c r="J18" s="13">
        <v>33.0</v>
      </c>
      <c r="K18" s="13">
        <v>58.0</v>
      </c>
      <c r="L18" s="13">
        <v>73.0</v>
      </c>
      <c r="M18" s="13">
        <v>72.0</v>
      </c>
      <c r="N18" s="13">
        <v>84.0</v>
      </c>
      <c r="O18" s="13">
        <v>64.0</v>
      </c>
      <c r="P18" s="13">
        <v>55.0</v>
      </c>
      <c r="Q18" s="13">
        <v>55.0</v>
      </c>
    </row>
    <row r="19">
      <c r="A19" s="18" t="s">
        <v>23</v>
      </c>
      <c r="B19" s="19">
        <v>178.9</v>
      </c>
      <c r="C19" s="19">
        <v>398.55</v>
      </c>
      <c r="D19" s="19">
        <v>453.74</v>
      </c>
      <c r="E19" s="19">
        <v>453.81</v>
      </c>
      <c r="F19" s="19">
        <v>447.21</v>
      </c>
      <c r="G19" s="19">
        <v>510.59</v>
      </c>
      <c r="H19" s="19">
        <v>538.43</v>
      </c>
      <c r="I19" s="19">
        <v>704.55</v>
      </c>
      <c r="J19" s="19">
        <v>711.88</v>
      </c>
      <c r="K19" s="19">
        <v>755.68</v>
      </c>
      <c r="L19" s="19">
        <v>737.66</v>
      </c>
      <c r="M19" s="19">
        <v>829.35</v>
      </c>
      <c r="N19" s="19">
        <v>806.72</v>
      </c>
      <c r="O19" s="19">
        <v>1000.56</v>
      </c>
      <c r="P19" s="19">
        <v>935.18</v>
      </c>
      <c r="Q19" s="19">
        <v>944.72</v>
      </c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14" t="s">
        <v>24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6"/>
    </row>
    <row r="21">
      <c r="A21" s="11" t="s">
        <v>19</v>
      </c>
      <c r="B21" s="12"/>
      <c r="C21" s="12"/>
      <c r="D21" s="12"/>
      <c r="E21" s="13">
        <v>2917.0</v>
      </c>
      <c r="F21" s="13">
        <v>3457.0</v>
      </c>
      <c r="G21" s="13">
        <v>4667.0</v>
      </c>
      <c r="H21" s="13">
        <v>5768.0</v>
      </c>
      <c r="I21" s="13">
        <v>5436.0</v>
      </c>
      <c r="J21" s="13">
        <v>4314.0</v>
      </c>
      <c r="K21" s="13">
        <v>5120.0</v>
      </c>
      <c r="L21" s="13">
        <v>5178.0</v>
      </c>
      <c r="M21" s="13">
        <v>5560.0</v>
      </c>
      <c r="N21" s="13">
        <v>4624.0</v>
      </c>
      <c r="O21" s="13">
        <v>5237.0</v>
      </c>
      <c r="P21" s="13">
        <v>5820.0</v>
      </c>
      <c r="Q21" s="13">
        <v>6062.0</v>
      </c>
    </row>
    <row r="22">
      <c r="A22" s="11" t="s">
        <v>20</v>
      </c>
      <c r="B22" s="12"/>
      <c r="C22" s="12"/>
      <c r="D22" s="12"/>
      <c r="E22" s="13">
        <v>218.0</v>
      </c>
      <c r="F22" s="13">
        <v>110.0</v>
      </c>
      <c r="G22" s="13">
        <v>175.0</v>
      </c>
      <c r="H22" s="13">
        <v>194.0</v>
      </c>
      <c r="I22" s="13">
        <v>162.0</v>
      </c>
      <c r="J22" s="13">
        <v>207.0</v>
      </c>
      <c r="K22" s="13">
        <v>225.0</v>
      </c>
      <c r="L22" s="13">
        <v>316.0</v>
      </c>
      <c r="M22" s="13">
        <v>267.0</v>
      </c>
      <c r="N22" s="13">
        <v>278.0</v>
      </c>
      <c r="O22" s="13">
        <v>360.0</v>
      </c>
      <c r="P22" s="13">
        <v>422.0</v>
      </c>
      <c r="Q22" s="13">
        <v>391.0</v>
      </c>
    </row>
    <row r="23">
      <c r="A23" s="11" t="s">
        <v>21</v>
      </c>
      <c r="B23" s="12"/>
      <c r="C23" s="12"/>
      <c r="D23" s="12"/>
      <c r="E23" s="16">
        <f t="shared" ref="E23:Q23" si="2">E22/E21</f>
        <v>0.07473431608</v>
      </c>
      <c r="F23" s="16">
        <f t="shared" si="2"/>
        <v>0.03181949667</v>
      </c>
      <c r="G23" s="16">
        <f t="shared" si="2"/>
        <v>0.03749732162</v>
      </c>
      <c r="H23" s="16">
        <f t="shared" si="2"/>
        <v>0.03363384189</v>
      </c>
      <c r="I23" s="16">
        <f t="shared" si="2"/>
        <v>0.0298013245</v>
      </c>
      <c r="J23" s="16">
        <f t="shared" si="2"/>
        <v>0.04798331015</v>
      </c>
      <c r="K23" s="16">
        <f t="shared" si="2"/>
        <v>0.0439453125</v>
      </c>
      <c r="L23" s="16">
        <f t="shared" si="2"/>
        <v>0.06102742372</v>
      </c>
      <c r="M23" s="16">
        <f t="shared" si="2"/>
        <v>0.04802158273</v>
      </c>
      <c r="N23" s="16">
        <f t="shared" si="2"/>
        <v>0.06012110727</v>
      </c>
      <c r="O23" s="16">
        <f t="shared" si="2"/>
        <v>0.06874164598</v>
      </c>
      <c r="P23" s="16">
        <f t="shared" si="2"/>
        <v>0.07250859107</v>
      </c>
      <c r="Q23" s="16">
        <f t="shared" si="2"/>
        <v>0.06450016496</v>
      </c>
    </row>
    <row r="24">
      <c r="A24" s="11" t="s">
        <v>25</v>
      </c>
      <c r="B24" s="12"/>
      <c r="C24" s="12"/>
      <c r="D24" s="12"/>
      <c r="E24" s="21">
        <f t="shared" ref="E24:Q24" si="3">E22/E28</f>
        <v>2.734914063</v>
      </c>
      <c r="F24" s="21">
        <f t="shared" si="3"/>
        <v>0.5574418487</v>
      </c>
      <c r="G24" s="21">
        <f t="shared" si="3"/>
        <v>0.6705237749</v>
      </c>
      <c r="H24" s="21">
        <f t="shared" si="3"/>
        <v>0.6573819932</v>
      </c>
      <c r="I24" s="21">
        <f t="shared" si="3"/>
        <v>0.5820428987</v>
      </c>
      <c r="J24" s="21">
        <f t="shared" si="3"/>
        <v>0.7511975613</v>
      </c>
      <c r="K24" s="21">
        <f t="shared" si="3"/>
        <v>0.5904891875</v>
      </c>
      <c r="L24" s="21">
        <f t="shared" si="3"/>
        <v>0.6671029576</v>
      </c>
      <c r="M24" s="21">
        <f t="shared" si="3"/>
        <v>0.5714408013</v>
      </c>
      <c r="N24" s="21">
        <f t="shared" si="3"/>
        <v>0.6200789597</v>
      </c>
      <c r="O24" s="21">
        <f t="shared" si="3"/>
        <v>0.7190077693</v>
      </c>
      <c r="P24" s="21">
        <f t="shared" si="3"/>
        <v>0.5602835938</v>
      </c>
      <c r="Q24" s="21">
        <f t="shared" si="3"/>
        <v>0.532719321</v>
      </c>
    </row>
    <row r="25">
      <c r="A25" s="11" t="s">
        <v>22</v>
      </c>
      <c r="B25" s="12"/>
      <c r="C25" s="12"/>
      <c r="D25" s="12"/>
      <c r="E25" s="13">
        <v>21.0</v>
      </c>
      <c r="F25" s="13">
        <v>10.0</v>
      </c>
      <c r="G25" s="13">
        <v>11.0</v>
      </c>
      <c r="H25" s="13">
        <v>4.0</v>
      </c>
      <c r="I25" s="13">
        <v>6.0</v>
      </c>
      <c r="J25" s="13">
        <v>5.0</v>
      </c>
      <c r="K25" s="13">
        <v>47.0</v>
      </c>
      <c r="L25" s="13">
        <v>150.0</v>
      </c>
      <c r="M25" s="13">
        <v>64.0</v>
      </c>
      <c r="N25" s="13">
        <v>92.0</v>
      </c>
      <c r="O25" s="13">
        <v>91.0</v>
      </c>
      <c r="P25" s="13">
        <v>115.0</v>
      </c>
      <c r="Q25" s="13">
        <v>101.0</v>
      </c>
    </row>
    <row r="26">
      <c r="A26" s="11" t="s">
        <v>26</v>
      </c>
      <c r="B26" s="12"/>
      <c r="C26" s="12"/>
      <c r="D26" s="12"/>
      <c r="E26" s="16">
        <f t="shared" ref="E26:Q26" si="4">E25/E22</f>
        <v>0.09633027523</v>
      </c>
      <c r="F26" s="16">
        <f t="shared" si="4"/>
        <v>0.09090909091</v>
      </c>
      <c r="G26" s="16">
        <f t="shared" si="4"/>
        <v>0.06285714286</v>
      </c>
      <c r="H26" s="16">
        <f t="shared" si="4"/>
        <v>0.0206185567</v>
      </c>
      <c r="I26" s="16">
        <f t="shared" si="4"/>
        <v>0.03703703704</v>
      </c>
      <c r="J26" s="16">
        <f t="shared" si="4"/>
        <v>0.02415458937</v>
      </c>
      <c r="K26" s="16">
        <f t="shared" si="4"/>
        <v>0.2088888889</v>
      </c>
      <c r="L26" s="16">
        <f t="shared" si="4"/>
        <v>0.4746835443</v>
      </c>
      <c r="M26" s="16">
        <f t="shared" si="4"/>
        <v>0.2397003745</v>
      </c>
      <c r="N26" s="16">
        <f t="shared" si="4"/>
        <v>0.3309352518</v>
      </c>
      <c r="O26" s="16">
        <f t="shared" si="4"/>
        <v>0.2527777778</v>
      </c>
      <c r="P26" s="16">
        <f t="shared" si="4"/>
        <v>0.2725118483</v>
      </c>
      <c r="Q26" s="16">
        <f t="shared" si="4"/>
        <v>0.2583120205</v>
      </c>
    </row>
    <row r="27">
      <c r="A27" s="11" t="s">
        <v>27</v>
      </c>
      <c r="B27" s="12"/>
      <c r="C27" s="12"/>
      <c r="D27" s="12"/>
      <c r="E27" s="21">
        <f t="shared" ref="E27:Q27" si="5">E28/E25</f>
        <v>3.795714286</v>
      </c>
      <c r="F27" s="21">
        <f t="shared" si="5"/>
        <v>19.733</v>
      </c>
      <c r="G27" s="21">
        <f t="shared" si="5"/>
        <v>23.72636364</v>
      </c>
      <c r="H27" s="21">
        <f t="shared" si="5"/>
        <v>73.7775</v>
      </c>
      <c r="I27" s="21">
        <f t="shared" si="5"/>
        <v>46.38833333</v>
      </c>
      <c r="J27" s="21">
        <f t="shared" si="5"/>
        <v>55.112</v>
      </c>
      <c r="K27" s="21">
        <f t="shared" si="5"/>
        <v>8.107234043</v>
      </c>
      <c r="L27" s="21">
        <f t="shared" si="5"/>
        <v>3.157933333</v>
      </c>
      <c r="M27" s="21">
        <f t="shared" si="5"/>
        <v>7.300625</v>
      </c>
      <c r="N27" s="21">
        <f t="shared" si="5"/>
        <v>4.873152174</v>
      </c>
      <c r="O27" s="21">
        <f t="shared" si="5"/>
        <v>5.502087912</v>
      </c>
      <c r="P27" s="21">
        <f t="shared" si="5"/>
        <v>6.549478261</v>
      </c>
      <c r="Q27" s="21">
        <f t="shared" si="5"/>
        <v>7.267029703</v>
      </c>
    </row>
    <row r="28">
      <c r="A28" s="11" t="s">
        <v>28</v>
      </c>
      <c r="B28" s="12"/>
      <c r="C28" s="12"/>
      <c r="D28" s="12"/>
      <c r="E28" s="19">
        <v>79.71</v>
      </c>
      <c r="F28" s="19">
        <v>197.33</v>
      </c>
      <c r="G28" s="19">
        <v>260.99</v>
      </c>
      <c r="H28" s="19">
        <v>295.11</v>
      </c>
      <c r="I28" s="19">
        <v>278.33</v>
      </c>
      <c r="J28" s="19">
        <v>275.56</v>
      </c>
      <c r="K28" s="19">
        <v>381.04</v>
      </c>
      <c r="L28" s="19">
        <v>473.69</v>
      </c>
      <c r="M28" s="13">
        <v>467.24</v>
      </c>
      <c r="N28" s="19">
        <v>448.33</v>
      </c>
      <c r="O28" s="19">
        <v>500.69</v>
      </c>
      <c r="P28" s="19">
        <v>753.19</v>
      </c>
      <c r="Q28" s="19">
        <v>733.97</v>
      </c>
    </row>
    <row r="29">
      <c r="A29" s="10" t="s">
        <v>50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10" t="s">
        <v>68</v>
      </c>
      <c r="O29" s="5"/>
      <c r="P29" s="5"/>
      <c r="Q29" s="6"/>
    </row>
    <row r="30">
      <c r="A30" s="11" t="s">
        <v>19</v>
      </c>
      <c r="B30" s="13">
        <v>9681.0</v>
      </c>
      <c r="C30" s="13">
        <v>29605.0</v>
      </c>
      <c r="D30" s="13">
        <v>32537.0</v>
      </c>
      <c r="E30" s="13">
        <v>29417.0</v>
      </c>
      <c r="F30" s="13">
        <v>12147.0</v>
      </c>
      <c r="G30" s="12"/>
      <c r="H30" s="12"/>
      <c r="I30" s="12"/>
      <c r="J30" s="12"/>
      <c r="K30" s="12"/>
      <c r="L30" s="12"/>
      <c r="M30" s="12"/>
      <c r="N30" s="12"/>
      <c r="O30" s="13">
        <v>1574.0</v>
      </c>
      <c r="P30" s="12"/>
      <c r="Q30" s="12"/>
    </row>
    <row r="31">
      <c r="A31" s="11" t="s">
        <v>20</v>
      </c>
      <c r="B31" s="13">
        <v>43.0</v>
      </c>
      <c r="C31" s="13">
        <v>144.0</v>
      </c>
      <c r="D31" s="13">
        <v>685.0</v>
      </c>
      <c r="E31" s="13">
        <v>737.0</v>
      </c>
      <c r="F31" s="13">
        <v>221.0</v>
      </c>
      <c r="G31" s="12"/>
      <c r="H31" s="12"/>
      <c r="I31" s="12"/>
      <c r="J31" s="12"/>
      <c r="K31" s="12"/>
      <c r="L31" s="12"/>
      <c r="M31" s="12"/>
      <c r="N31" s="13"/>
      <c r="O31" s="13">
        <v>67.0</v>
      </c>
      <c r="P31" s="13"/>
      <c r="Q31" s="13"/>
    </row>
    <row r="32">
      <c r="A32" s="11" t="s">
        <v>21</v>
      </c>
      <c r="B32" s="16">
        <f t="shared" ref="B32:F32" si="6">B31/B30</f>
        <v>0.004441689908</v>
      </c>
      <c r="C32" s="16">
        <f t="shared" si="6"/>
        <v>0.004864043236</v>
      </c>
      <c r="D32" s="16">
        <f t="shared" si="6"/>
        <v>0.0210529551</v>
      </c>
      <c r="E32" s="16">
        <f t="shared" si="6"/>
        <v>0.02505354047</v>
      </c>
      <c r="F32" s="16">
        <f t="shared" si="6"/>
        <v>0.01819379271</v>
      </c>
      <c r="G32" s="12"/>
      <c r="H32" s="12"/>
      <c r="I32" s="12"/>
      <c r="J32" s="12"/>
      <c r="K32" s="12"/>
      <c r="L32" s="12"/>
      <c r="M32" s="12"/>
      <c r="N32" s="13"/>
      <c r="O32" s="16">
        <f>O31/O30</f>
        <v>0.04256670902</v>
      </c>
      <c r="P32" s="13"/>
      <c r="Q32" s="13"/>
    </row>
    <row r="33">
      <c r="A33" s="23" t="s">
        <v>51</v>
      </c>
      <c r="B33" s="21">
        <f t="shared" ref="B33:F33" si="7">B34/B31</f>
        <v>0.9302325581</v>
      </c>
      <c r="C33" s="21">
        <f t="shared" si="7"/>
        <v>0.9722222222</v>
      </c>
      <c r="D33" s="21">
        <f t="shared" si="7"/>
        <v>0.1751824818</v>
      </c>
      <c r="E33" s="21">
        <f t="shared" si="7"/>
        <v>0.1628222524</v>
      </c>
      <c r="F33" s="21">
        <f t="shared" si="7"/>
        <v>0.2628506787</v>
      </c>
      <c r="G33" s="12"/>
      <c r="H33" s="12"/>
      <c r="I33" s="12"/>
      <c r="J33" s="12"/>
      <c r="K33" s="12"/>
      <c r="L33" s="12"/>
      <c r="M33" s="12"/>
      <c r="N33" s="41"/>
      <c r="O33" s="21">
        <f>O34/O31</f>
        <v>0.7447761194</v>
      </c>
      <c r="P33" s="41"/>
      <c r="Q33" s="41"/>
    </row>
    <row r="34">
      <c r="A34" s="42" t="s">
        <v>28</v>
      </c>
      <c r="B34" s="19">
        <v>40.0</v>
      </c>
      <c r="C34" s="19">
        <v>140.0</v>
      </c>
      <c r="D34" s="19">
        <v>120.0</v>
      </c>
      <c r="E34" s="19">
        <v>120.0</v>
      </c>
      <c r="F34" s="19">
        <v>58.09</v>
      </c>
      <c r="G34" s="21"/>
      <c r="H34" s="21"/>
      <c r="I34" s="21"/>
      <c r="J34" s="21"/>
      <c r="K34" s="21"/>
      <c r="L34" s="21"/>
      <c r="M34" s="21"/>
      <c r="N34" s="41"/>
      <c r="O34" s="19">
        <v>49.9</v>
      </c>
      <c r="P34" s="41"/>
      <c r="Q34" s="41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14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6"/>
    </row>
    <row r="36">
      <c r="A36" s="22" t="s">
        <v>30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>
      <c r="A37" s="11" t="s">
        <v>31</v>
      </c>
      <c r="B37" s="13">
        <v>1.0</v>
      </c>
      <c r="C37" s="13">
        <v>0.0</v>
      </c>
      <c r="D37" s="13">
        <v>1.0</v>
      </c>
      <c r="E37" s="13">
        <v>1.0</v>
      </c>
      <c r="F37" s="12"/>
      <c r="G37" s="43">
        <v>2.0</v>
      </c>
      <c r="H37" s="13">
        <v>4.0</v>
      </c>
      <c r="I37" s="13">
        <v>4.0</v>
      </c>
      <c r="J37" s="13">
        <v>2.0</v>
      </c>
      <c r="K37" s="13">
        <v>3.0</v>
      </c>
      <c r="L37" s="13">
        <v>3.0</v>
      </c>
      <c r="M37" s="13">
        <v>3.0</v>
      </c>
      <c r="N37" s="13">
        <v>3.0</v>
      </c>
      <c r="O37" s="13">
        <v>3.0</v>
      </c>
      <c r="P37" s="13">
        <v>6.0</v>
      </c>
      <c r="Q37" s="13">
        <v>3.0</v>
      </c>
    </row>
    <row r="38">
      <c r="A38" s="23" t="s">
        <v>32</v>
      </c>
      <c r="B38" s="13" t="s">
        <v>69</v>
      </c>
      <c r="C38" s="13" t="s">
        <v>70</v>
      </c>
      <c r="D38" s="13" t="s">
        <v>71</v>
      </c>
      <c r="E38" s="13" t="s">
        <v>72</v>
      </c>
      <c r="F38" s="12"/>
      <c r="G38" s="13" t="s">
        <v>65</v>
      </c>
      <c r="H38" s="13" t="s">
        <v>73</v>
      </c>
      <c r="I38" s="13" t="s">
        <v>74</v>
      </c>
      <c r="J38" s="13" t="s">
        <v>75</v>
      </c>
      <c r="K38" s="13" t="s">
        <v>76</v>
      </c>
      <c r="L38" s="13" t="s">
        <v>77</v>
      </c>
      <c r="M38" s="13" t="s">
        <v>78</v>
      </c>
      <c r="N38" s="13" t="s">
        <v>79</v>
      </c>
      <c r="O38" s="13" t="s">
        <v>80</v>
      </c>
      <c r="P38" s="13" t="s">
        <v>81</v>
      </c>
      <c r="Q38" s="13" t="s">
        <v>82</v>
      </c>
    </row>
    <row r="39" ht="44.25" customHeight="1">
      <c r="A39" s="24" t="s">
        <v>45</v>
      </c>
      <c r="B39" s="44"/>
      <c r="C39" s="44"/>
      <c r="D39" s="44"/>
      <c r="E39" s="25"/>
      <c r="F39" s="25">
        <v>1.0</v>
      </c>
      <c r="G39" s="44"/>
      <c r="H39" s="25">
        <v>6.0</v>
      </c>
      <c r="I39" s="25">
        <v>13.0</v>
      </c>
      <c r="J39" s="25"/>
      <c r="K39" s="25">
        <v>9.0</v>
      </c>
      <c r="L39" s="25"/>
      <c r="M39" s="25">
        <v>6.0</v>
      </c>
      <c r="N39" s="25">
        <v>3.0</v>
      </c>
      <c r="O39" s="25">
        <v>9.0</v>
      </c>
      <c r="P39" s="25">
        <v>7.0</v>
      </c>
      <c r="Q39" s="25">
        <v>16.0</v>
      </c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38"/>
    </row>
    <row r="41">
      <c r="A41" s="38"/>
    </row>
    <row r="42">
      <c r="A42" s="38"/>
    </row>
    <row r="43">
      <c r="A43" s="38"/>
    </row>
    <row r="44">
      <c r="A44" s="38"/>
    </row>
    <row r="45">
      <c r="A45" s="38"/>
    </row>
    <row r="46">
      <c r="A46" s="38"/>
    </row>
    <row r="47">
      <c r="A47" s="38"/>
    </row>
    <row r="48">
      <c r="A48" s="38"/>
    </row>
    <row r="49">
      <c r="A49" s="38"/>
    </row>
    <row r="50">
      <c r="A50" s="38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</sheetData>
  <mergeCells count="30">
    <mergeCell ref="A1:Q1"/>
    <mergeCell ref="B2:E2"/>
    <mergeCell ref="F2:I2"/>
    <mergeCell ref="J2:M2"/>
    <mergeCell ref="N2:Q2"/>
    <mergeCell ref="A3:A4"/>
    <mergeCell ref="B3:B4"/>
    <mergeCell ref="A29:M29"/>
    <mergeCell ref="A35:Q35"/>
    <mergeCell ref="Q3:Q4"/>
    <mergeCell ref="A5:Q5"/>
    <mergeCell ref="A7:Q7"/>
    <mergeCell ref="A10:Q10"/>
    <mergeCell ref="A14:Q14"/>
    <mergeCell ref="A20:Q20"/>
    <mergeCell ref="N29:Q29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0.0"/>
    <col customWidth="1" min="2" max="17" width="8.13"/>
  </cols>
  <sheetData>
    <row r="1" ht="36.75" customHeight="1">
      <c r="A1" s="39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/>
      <c r="B2" s="4" t="s">
        <v>1</v>
      </c>
      <c r="C2" s="5"/>
      <c r="D2" s="5"/>
      <c r="E2" s="6"/>
      <c r="F2" s="4" t="s">
        <v>2</v>
      </c>
      <c r="G2" s="5"/>
      <c r="H2" s="5"/>
      <c r="I2" s="6"/>
      <c r="J2" s="4" t="s">
        <v>3</v>
      </c>
      <c r="K2" s="5"/>
      <c r="L2" s="5"/>
      <c r="M2" s="6"/>
      <c r="N2" s="4" t="s">
        <v>4</v>
      </c>
      <c r="O2" s="5"/>
      <c r="P2" s="5"/>
      <c r="Q2" s="6"/>
    </row>
    <row r="3">
      <c r="A3" s="7"/>
      <c r="B3" s="8" t="s">
        <v>5</v>
      </c>
      <c r="C3" s="8" t="s">
        <v>6</v>
      </c>
      <c r="D3" s="8" t="s">
        <v>7</v>
      </c>
      <c r="E3" s="8" t="s">
        <v>8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5</v>
      </c>
      <c r="K3" s="8" t="s">
        <v>6</v>
      </c>
      <c r="L3" s="8" t="s">
        <v>7</v>
      </c>
      <c r="M3" s="8" t="s">
        <v>8</v>
      </c>
      <c r="N3" s="8" t="s">
        <v>5</v>
      </c>
      <c r="O3" s="8" t="s">
        <v>6</v>
      </c>
      <c r="P3" s="8" t="s">
        <v>7</v>
      </c>
      <c r="Q3" s="8" t="s">
        <v>8</v>
      </c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>
      <c r="A5" s="10" t="s">
        <v>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/>
    </row>
    <row r="6">
      <c r="A6" s="11" t="s">
        <v>10</v>
      </c>
      <c r="B6" s="13">
        <v>5.0</v>
      </c>
      <c r="C6" s="13">
        <v>5.0</v>
      </c>
      <c r="D6" s="13">
        <v>5.0</v>
      </c>
      <c r="E6" s="13">
        <v>4.0</v>
      </c>
      <c r="F6" s="13">
        <v>6.0</v>
      </c>
      <c r="G6" s="13">
        <v>6.0</v>
      </c>
      <c r="H6" s="13">
        <v>5.0</v>
      </c>
      <c r="I6" s="13">
        <v>5.0</v>
      </c>
      <c r="J6" s="13">
        <v>4.0</v>
      </c>
      <c r="K6" s="13">
        <v>5.0</v>
      </c>
      <c r="L6" s="13">
        <v>5.0</v>
      </c>
      <c r="M6" s="13">
        <v>5.0</v>
      </c>
      <c r="N6" s="13">
        <v>5.0</v>
      </c>
      <c r="O6" s="13">
        <v>5.0</v>
      </c>
      <c r="P6" s="13">
        <v>5.0</v>
      </c>
      <c r="Q6" s="12"/>
    </row>
    <row r="7">
      <c r="A7" s="14" t="s">
        <v>11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6"/>
    </row>
    <row r="8">
      <c r="A8" s="11" t="s">
        <v>12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</row>
    <row r="9">
      <c r="A9" s="11" t="s">
        <v>13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>
      <c r="A10" s="14" t="s">
        <v>14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6"/>
    </row>
    <row r="11">
      <c r="A11" s="11" t="s">
        <v>15</v>
      </c>
      <c r="B11" s="13">
        <v>26.0</v>
      </c>
      <c r="C11" s="13">
        <v>16.0</v>
      </c>
      <c r="D11" s="13">
        <v>13.0</v>
      </c>
      <c r="E11" s="13">
        <v>17.0</v>
      </c>
      <c r="F11" s="13">
        <v>13.0</v>
      </c>
      <c r="G11" s="13">
        <v>14.0</v>
      </c>
      <c r="H11" s="13">
        <v>12.0</v>
      </c>
      <c r="I11" s="13">
        <v>16.0</v>
      </c>
      <c r="J11" s="12"/>
      <c r="K11" s="12"/>
      <c r="L11" s="12"/>
      <c r="M11" s="12"/>
      <c r="N11" s="12"/>
      <c r="O11" s="12"/>
      <c r="P11" s="12"/>
      <c r="Q11" s="12"/>
    </row>
    <row r="12">
      <c r="A12" s="11" t="s">
        <v>16</v>
      </c>
      <c r="B12" s="13">
        <v>49.0</v>
      </c>
      <c r="C12" s="13">
        <v>52.0</v>
      </c>
      <c r="D12" s="13">
        <v>26.0</v>
      </c>
      <c r="E12" s="13">
        <v>43.0</v>
      </c>
      <c r="F12" s="13">
        <v>25.0</v>
      </c>
      <c r="G12" s="13">
        <v>18.0</v>
      </c>
      <c r="H12" s="13">
        <v>22.0</v>
      </c>
      <c r="I12" s="13">
        <v>17.0</v>
      </c>
      <c r="J12" s="12"/>
      <c r="K12" s="12"/>
      <c r="L12" s="12"/>
      <c r="M12" s="12"/>
      <c r="N12" s="12"/>
      <c r="O12" s="12"/>
      <c r="P12" s="12"/>
      <c r="Q12" s="12"/>
    </row>
    <row r="13">
      <c r="A13" s="11" t="s">
        <v>17</v>
      </c>
      <c r="B13" s="13">
        <v>2.0</v>
      </c>
      <c r="C13" s="13">
        <v>25.0</v>
      </c>
      <c r="D13" s="13">
        <v>14.0</v>
      </c>
      <c r="E13" s="13">
        <v>16.0</v>
      </c>
      <c r="F13" s="13">
        <v>11.0</v>
      </c>
      <c r="G13" s="13">
        <v>7.0</v>
      </c>
      <c r="H13" s="13">
        <v>8.0</v>
      </c>
      <c r="I13" s="13">
        <v>12.0</v>
      </c>
      <c r="J13" s="12"/>
      <c r="K13" s="12"/>
      <c r="L13" s="12"/>
      <c r="M13" s="12"/>
      <c r="N13" s="12"/>
      <c r="O13" s="12"/>
      <c r="P13" s="12"/>
      <c r="Q13" s="12"/>
    </row>
    <row r="14">
      <c r="A14" s="14" t="s">
        <v>18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6"/>
    </row>
    <row r="15">
      <c r="A15" s="11" t="s">
        <v>19</v>
      </c>
      <c r="B15" s="13">
        <v>26864.0</v>
      </c>
      <c r="C15" s="13">
        <v>22678.0</v>
      </c>
      <c r="D15" s="13">
        <v>23411.0</v>
      </c>
      <c r="E15" s="13">
        <v>27939.0</v>
      </c>
      <c r="F15" s="13">
        <v>32500.0</v>
      </c>
      <c r="G15" s="13">
        <v>31471.0</v>
      </c>
      <c r="H15" s="13">
        <v>30331.0</v>
      </c>
      <c r="I15" s="13">
        <v>33007.0</v>
      </c>
      <c r="J15" s="13">
        <v>50775.0</v>
      </c>
      <c r="K15" s="13">
        <v>38303.0</v>
      </c>
      <c r="L15" s="13">
        <v>37356.0</v>
      </c>
      <c r="M15" s="13">
        <v>50864.0</v>
      </c>
      <c r="N15" s="13">
        <v>36316.0</v>
      </c>
      <c r="O15" s="13">
        <v>33342.0</v>
      </c>
      <c r="P15" s="13">
        <v>33895.0</v>
      </c>
      <c r="Q15" s="13">
        <v>31259.0</v>
      </c>
    </row>
    <row r="16">
      <c r="A16" s="11" t="s">
        <v>20</v>
      </c>
      <c r="B16" s="13">
        <v>218.0</v>
      </c>
      <c r="C16" s="13">
        <v>178.0</v>
      </c>
      <c r="D16" s="13">
        <v>231.0</v>
      </c>
      <c r="E16" s="13">
        <v>219.0</v>
      </c>
      <c r="F16" s="13">
        <v>257.0</v>
      </c>
      <c r="G16" s="13">
        <v>278.0</v>
      </c>
      <c r="H16" s="13">
        <v>242.0</v>
      </c>
      <c r="I16" s="13">
        <v>296.0</v>
      </c>
      <c r="J16" s="13">
        <v>333.0</v>
      </c>
      <c r="K16" s="13">
        <v>264.0</v>
      </c>
      <c r="L16" s="13">
        <v>275.0</v>
      </c>
      <c r="M16" s="13">
        <v>361.0</v>
      </c>
      <c r="N16" s="13">
        <v>314.0</v>
      </c>
      <c r="O16" s="13">
        <v>318.0</v>
      </c>
      <c r="P16" s="13">
        <v>303.0</v>
      </c>
      <c r="Q16" s="13">
        <v>252.0</v>
      </c>
    </row>
    <row r="17">
      <c r="A17" s="11" t="s">
        <v>21</v>
      </c>
      <c r="B17" s="16">
        <f t="shared" ref="B17:Q17" si="1">B16/B15</f>
        <v>0.008114949375</v>
      </c>
      <c r="C17" s="16">
        <f t="shared" si="1"/>
        <v>0.007849016668</v>
      </c>
      <c r="D17" s="16">
        <f t="shared" si="1"/>
        <v>0.009867156465</v>
      </c>
      <c r="E17" s="16">
        <f t="shared" si="1"/>
        <v>0.007838505315</v>
      </c>
      <c r="F17" s="16">
        <f t="shared" si="1"/>
        <v>0.007907692308</v>
      </c>
      <c r="G17" s="16">
        <f t="shared" si="1"/>
        <v>0.008833529281</v>
      </c>
      <c r="H17" s="16">
        <f t="shared" si="1"/>
        <v>0.007978635719</v>
      </c>
      <c r="I17" s="16">
        <f t="shared" si="1"/>
        <v>0.00896779471</v>
      </c>
      <c r="J17" s="16">
        <f t="shared" si="1"/>
        <v>0.006558345643</v>
      </c>
      <c r="K17" s="16">
        <f t="shared" si="1"/>
        <v>0.006892410516</v>
      </c>
      <c r="L17" s="16">
        <f t="shared" si="1"/>
        <v>0.007361601885</v>
      </c>
      <c r="M17" s="16">
        <f t="shared" si="1"/>
        <v>0.00709735766</v>
      </c>
      <c r="N17" s="16">
        <f t="shared" si="1"/>
        <v>0.008646326688</v>
      </c>
      <c r="O17" s="16">
        <f t="shared" si="1"/>
        <v>0.009537520245</v>
      </c>
      <c r="P17" s="16">
        <f t="shared" si="1"/>
        <v>0.008939371589</v>
      </c>
      <c r="Q17" s="16">
        <f t="shared" si="1"/>
        <v>0.008061678237</v>
      </c>
    </row>
    <row r="18">
      <c r="A18" s="11" t="s">
        <v>22</v>
      </c>
      <c r="B18" s="13">
        <v>32.0</v>
      </c>
      <c r="C18" s="13">
        <v>14.0</v>
      </c>
      <c r="D18" s="13">
        <v>35.0</v>
      </c>
      <c r="E18" s="13">
        <v>43.0</v>
      </c>
      <c r="F18" s="13">
        <v>39.0</v>
      </c>
      <c r="G18" s="13">
        <v>44.0</v>
      </c>
      <c r="H18" s="13">
        <v>30.0</v>
      </c>
      <c r="I18" s="13">
        <v>46.0</v>
      </c>
      <c r="J18" s="13">
        <v>40.0</v>
      </c>
      <c r="K18" s="13">
        <v>34.0</v>
      </c>
      <c r="L18" s="13">
        <v>31.0</v>
      </c>
      <c r="M18" s="13">
        <v>30.0</v>
      </c>
      <c r="N18" s="13">
        <v>44.0</v>
      </c>
      <c r="O18" s="13">
        <v>42.0</v>
      </c>
      <c r="P18" s="13">
        <v>32.0</v>
      </c>
      <c r="Q18" s="13">
        <v>28.0</v>
      </c>
    </row>
    <row r="19">
      <c r="A19" s="18" t="s">
        <v>23</v>
      </c>
      <c r="B19" s="19">
        <v>699.39</v>
      </c>
      <c r="C19" s="19">
        <v>616.84</v>
      </c>
      <c r="D19" s="19">
        <v>606.08</v>
      </c>
      <c r="E19" s="19">
        <v>703.19</v>
      </c>
      <c r="F19" s="19">
        <v>689.63</v>
      </c>
      <c r="G19" s="19">
        <v>709.88</v>
      </c>
      <c r="H19" s="19">
        <v>689.76</v>
      </c>
      <c r="I19" s="19">
        <v>704.25</v>
      </c>
      <c r="J19" s="19">
        <v>692.0</v>
      </c>
      <c r="K19" s="19">
        <v>715.15</v>
      </c>
      <c r="L19" s="19">
        <v>691.67</v>
      </c>
      <c r="M19" s="19">
        <v>704.18</v>
      </c>
      <c r="N19" s="19">
        <v>699.05</v>
      </c>
      <c r="O19" s="19">
        <v>691.38</v>
      </c>
      <c r="P19" s="19">
        <v>693.3</v>
      </c>
      <c r="Q19" s="19">
        <v>693.03</v>
      </c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14" t="s">
        <v>24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6"/>
    </row>
    <row r="21">
      <c r="A21" s="11" t="s">
        <v>19</v>
      </c>
      <c r="B21" s="13">
        <v>13156.0</v>
      </c>
      <c r="C21" s="13">
        <v>10971.0</v>
      </c>
      <c r="D21" s="13">
        <v>7961.0</v>
      </c>
      <c r="E21" s="13">
        <v>5515.0</v>
      </c>
      <c r="F21" s="13">
        <v>7042.0</v>
      </c>
      <c r="G21" s="13">
        <v>8355.0</v>
      </c>
      <c r="H21" s="13">
        <v>9146.0</v>
      </c>
      <c r="I21" s="13">
        <v>9382.0</v>
      </c>
      <c r="J21" s="13">
        <v>10807.0</v>
      </c>
      <c r="K21" s="13">
        <v>12163.0</v>
      </c>
      <c r="L21" s="13">
        <v>10466.0</v>
      </c>
      <c r="M21" s="13">
        <v>6226.0</v>
      </c>
      <c r="N21" s="13">
        <v>5027.0</v>
      </c>
      <c r="O21" s="13">
        <v>5137.0</v>
      </c>
      <c r="P21" s="13">
        <v>7673.0</v>
      </c>
      <c r="Q21" s="13">
        <v>8239.0</v>
      </c>
    </row>
    <row r="22">
      <c r="A22" s="11" t="s">
        <v>20</v>
      </c>
      <c r="B22" s="13">
        <v>406.0</v>
      </c>
      <c r="C22" s="13">
        <v>396.0</v>
      </c>
      <c r="D22" s="13">
        <v>306.0</v>
      </c>
      <c r="E22" s="13">
        <v>274.0</v>
      </c>
      <c r="F22" s="13">
        <v>313.0</v>
      </c>
      <c r="G22" s="13">
        <v>370.0</v>
      </c>
      <c r="H22" s="13">
        <v>312.0</v>
      </c>
      <c r="I22" s="13">
        <v>311.0</v>
      </c>
      <c r="J22" s="13">
        <v>364.0</v>
      </c>
      <c r="K22" s="13">
        <v>386.0</v>
      </c>
      <c r="L22" s="13">
        <v>342.0</v>
      </c>
      <c r="M22" s="13">
        <v>260.0</v>
      </c>
      <c r="N22" s="13">
        <v>448.0</v>
      </c>
      <c r="O22" s="13">
        <v>209.0</v>
      </c>
      <c r="P22" s="13">
        <v>302.0</v>
      </c>
      <c r="Q22" s="13">
        <v>321.0</v>
      </c>
    </row>
    <row r="23">
      <c r="A23" s="11" t="s">
        <v>21</v>
      </c>
      <c r="B23" s="16">
        <f t="shared" ref="B23:Q23" si="2">B22/B21</f>
        <v>0.0308604439</v>
      </c>
      <c r="C23" s="16">
        <f t="shared" si="2"/>
        <v>0.03609515997</v>
      </c>
      <c r="D23" s="16">
        <f t="shared" si="2"/>
        <v>0.03843738224</v>
      </c>
      <c r="E23" s="16">
        <f t="shared" si="2"/>
        <v>0.04968268359</v>
      </c>
      <c r="F23" s="16">
        <f t="shared" si="2"/>
        <v>0.04444760011</v>
      </c>
      <c r="G23" s="16">
        <f t="shared" si="2"/>
        <v>0.04428485937</v>
      </c>
      <c r="H23" s="16">
        <f t="shared" si="2"/>
        <v>0.03411327356</v>
      </c>
      <c r="I23" s="16">
        <f t="shared" si="2"/>
        <v>0.03314858239</v>
      </c>
      <c r="J23" s="16">
        <f t="shared" si="2"/>
        <v>0.03368187286</v>
      </c>
      <c r="K23" s="16">
        <f t="shared" si="2"/>
        <v>0.03173559155</v>
      </c>
      <c r="L23" s="16">
        <f t="shared" si="2"/>
        <v>0.03267724059</v>
      </c>
      <c r="M23" s="16">
        <f t="shared" si="2"/>
        <v>0.04176035978</v>
      </c>
      <c r="N23" s="16">
        <f t="shared" si="2"/>
        <v>0.0891187587</v>
      </c>
      <c r="O23" s="16">
        <f t="shared" si="2"/>
        <v>0.04068522484</v>
      </c>
      <c r="P23" s="16">
        <f t="shared" si="2"/>
        <v>0.03935879056</v>
      </c>
      <c r="Q23" s="16">
        <f t="shared" si="2"/>
        <v>0.03896103896</v>
      </c>
    </row>
    <row r="24">
      <c r="A24" s="11" t="s">
        <v>25</v>
      </c>
      <c r="B24" s="21">
        <f t="shared" ref="B24:J24" si="3">B28/B22</f>
        <v>1.926083744</v>
      </c>
      <c r="C24" s="21">
        <f t="shared" si="3"/>
        <v>2.128585859</v>
      </c>
      <c r="D24" s="21">
        <f t="shared" si="3"/>
        <v>2.040588235</v>
      </c>
      <c r="E24" s="21">
        <f t="shared" si="3"/>
        <v>2.240547445</v>
      </c>
      <c r="F24" s="21">
        <f t="shared" si="3"/>
        <v>1.760894569</v>
      </c>
      <c r="G24" s="21">
        <f t="shared" si="3"/>
        <v>2.460378378</v>
      </c>
      <c r="H24" s="21">
        <f t="shared" si="3"/>
        <v>2.172403846</v>
      </c>
      <c r="I24" s="21">
        <f t="shared" si="3"/>
        <v>1.988263666</v>
      </c>
      <c r="J24" s="21">
        <f t="shared" si="3"/>
        <v>2.159258242</v>
      </c>
      <c r="K24" s="21">
        <f t="shared" ref="K24:Q24" si="4">K22/K28</f>
        <v>0.4768257733</v>
      </c>
      <c r="L24" s="21">
        <f t="shared" si="4"/>
        <v>0.5006514324</v>
      </c>
      <c r="M24" s="21">
        <f t="shared" si="4"/>
        <v>0.6890155028</v>
      </c>
      <c r="N24" s="21">
        <f t="shared" si="4"/>
        <v>1.776649746</v>
      </c>
      <c r="O24" s="21">
        <f t="shared" si="4"/>
        <v>0.4442366144</v>
      </c>
      <c r="P24" s="21">
        <f t="shared" si="4"/>
        <v>0.3379701646</v>
      </c>
      <c r="Q24" s="21">
        <f t="shared" si="4"/>
        <v>0.3528713394</v>
      </c>
    </row>
    <row r="25">
      <c r="A25" s="11" t="s">
        <v>22</v>
      </c>
      <c r="B25" s="13">
        <v>60.0</v>
      </c>
      <c r="C25" s="13">
        <v>61.0</v>
      </c>
      <c r="D25" s="13">
        <v>51.0</v>
      </c>
      <c r="E25" s="13">
        <v>29.0</v>
      </c>
      <c r="F25" s="13">
        <v>33.0</v>
      </c>
      <c r="G25" s="13">
        <v>52.0</v>
      </c>
      <c r="H25" s="13">
        <v>41.0</v>
      </c>
      <c r="I25" s="13">
        <v>44.0</v>
      </c>
      <c r="J25" s="13">
        <v>45.0</v>
      </c>
      <c r="K25" s="13">
        <v>46.0</v>
      </c>
      <c r="L25" s="13">
        <v>49.0</v>
      </c>
      <c r="M25" s="13">
        <v>20.0</v>
      </c>
      <c r="N25" s="13">
        <v>18.0</v>
      </c>
      <c r="O25" s="13">
        <v>29.0</v>
      </c>
      <c r="P25" s="13">
        <v>36.0</v>
      </c>
      <c r="Q25" s="13">
        <v>33.0</v>
      </c>
    </row>
    <row r="26">
      <c r="A26" s="11" t="s">
        <v>26</v>
      </c>
      <c r="B26" s="16">
        <f t="shared" ref="B26:Q26" si="5">B25/B22</f>
        <v>0.1477832512</v>
      </c>
      <c r="C26" s="16">
        <f t="shared" si="5"/>
        <v>0.154040404</v>
      </c>
      <c r="D26" s="16">
        <f t="shared" si="5"/>
        <v>0.1666666667</v>
      </c>
      <c r="E26" s="16">
        <f t="shared" si="5"/>
        <v>0.1058394161</v>
      </c>
      <c r="F26" s="16">
        <f t="shared" si="5"/>
        <v>0.1054313099</v>
      </c>
      <c r="G26" s="16">
        <f t="shared" si="5"/>
        <v>0.1405405405</v>
      </c>
      <c r="H26" s="16">
        <f t="shared" si="5"/>
        <v>0.1314102564</v>
      </c>
      <c r="I26" s="16">
        <f t="shared" si="5"/>
        <v>0.1414790997</v>
      </c>
      <c r="J26" s="16">
        <f t="shared" si="5"/>
        <v>0.1236263736</v>
      </c>
      <c r="K26" s="16">
        <f t="shared" si="5"/>
        <v>0.1191709845</v>
      </c>
      <c r="L26" s="16">
        <f t="shared" si="5"/>
        <v>0.1432748538</v>
      </c>
      <c r="M26" s="16">
        <f t="shared" si="5"/>
        <v>0.07692307692</v>
      </c>
      <c r="N26" s="16">
        <f t="shared" si="5"/>
        <v>0.04017857143</v>
      </c>
      <c r="O26" s="16">
        <f t="shared" si="5"/>
        <v>0.1387559809</v>
      </c>
      <c r="P26" s="16">
        <f t="shared" si="5"/>
        <v>0.119205298</v>
      </c>
      <c r="Q26" s="16">
        <f t="shared" si="5"/>
        <v>0.1028037383</v>
      </c>
    </row>
    <row r="27">
      <c r="A27" s="11" t="s">
        <v>27</v>
      </c>
      <c r="B27" s="21">
        <f t="shared" ref="B27:Q27" si="6">B28/B25</f>
        <v>13.03316667</v>
      </c>
      <c r="C27" s="21">
        <f t="shared" si="6"/>
        <v>13.81836066</v>
      </c>
      <c r="D27" s="21">
        <f t="shared" si="6"/>
        <v>12.24352941</v>
      </c>
      <c r="E27" s="21">
        <f t="shared" si="6"/>
        <v>21.16931034</v>
      </c>
      <c r="F27" s="21">
        <f t="shared" si="6"/>
        <v>16.70181818</v>
      </c>
      <c r="G27" s="21">
        <f t="shared" si="6"/>
        <v>17.50653846</v>
      </c>
      <c r="H27" s="21">
        <f t="shared" si="6"/>
        <v>16.53146341</v>
      </c>
      <c r="I27" s="21">
        <f t="shared" si="6"/>
        <v>14.05340909</v>
      </c>
      <c r="J27" s="21">
        <f t="shared" si="6"/>
        <v>17.466</v>
      </c>
      <c r="K27" s="21">
        <f t="shared" si="6"/>
        <v>17.59826087</v>
      </c>
      <c r="L27" s="21">
        <f t="shared" si="6"/>
        <v>13.94102041</v>
      </c>
      <c r="M27" s="21">
        <f t="shared" si="6"/>
        <v>18.8675</v>
      </c>
      <c r="N27" s="21">
        <f t="shared" si="6"/>
        <v>14.00888889</v>
      </c>
      <c r="O27" s="21">
        <f t="shared" si="6"/>
        <v>16.22310345</v>
      </c>
      <c r="P27" s="21">
        <f t="shared" si="6"/>
        <v>24.82138889</v>
      </c>
      <c r="Q27" s="21">
        <f t="shared" si="6"/>
        <v>27.56606061</v>
      </c>
    </row>
    <row r="28">
      <c r="A28" s="18" t="s">
        <v>28</v>
      </c>
      <c r="B28" s="19">
        <v>781.99</v>
      </c>
      <c r="C28" s="19">
        <v>842.92</v>
      </c>
      <c r="D28" s="19">
        <v>624.42</v>
      </c>
      <c r="E28" s="19">
        <v>613.91</v>
      </c>
      <c r="F28" s="19">
        <v>551.16</v>
      </c>
      <c r="G28" s="19">
        <v>910.34</v>
      </c>
      <c r="H28" s="19">
        <v>677.79</v>
      </c>
      <c r="I28" s="19">
        <v>618.35</v>
      </c>
      <c r="J28" s="19">
        <v>785.97</v>
      </c>
      <c r="K28" s="19">
        <v>809.52</v>
      </c>
      <c r="L28" s="19">
        <v>683.11</v>
      </c>
      <c r="M28" s="19">
        <v>377.35</v>
      </c>
      <c r="N28" s="19">
        <v>252.16</v>
      </c>
      <c r="O28" s="19">
        <v>470.47</v>
      </c>
      <c r="P28" s="19">
        <v>893.57</v>
      </c>
      <c r="Q28" s="19">
        <v>909.68</v>
      </c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14" t="s">
        <v>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6"/>
    </row>
    <row r="30">
      <c r="A30" s="22" t="s">
        <v>30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>
      <c r="A31" s="11" t="s">
        <v>31</v>
      </c>
      <c r="B31" s="13">
        <v>1.0</v>
      </c>
      <c r="C31" s="13">
        <v>1.0</v>
      </c>
      <c r="D31" s="13">
        <v>1.0</v>
      </c>
      <c r="E31" s="12"/>
      <c r="F31" s="13">
        <v>2.0</v>
      </c>
      <c r="G31" s="13">
        <v>4.0</v>
      </c>
      <c r="H31" s="13">
        <v>5.0</v>
      </c>
      <c r="I31" s="13">
        <v>4.0</v>
      </c>
      <c r="J31" s="13">
        <v>2.0</v>
      </c>
      <c r="K31" s="13">
        <v>3.0</v>
      </c>
      <c r="L31" s="13">
        <v>3.0</v>
      </c>
      <c r="M31" s="13">
        <v>1.0</v>
      </c>
      <c r="N31" s="13">
        <v>4.0</v>
      </c>
      <c r="O31" s="13">
        <v>2.0</v>
      </c>
      <c r="P31" s="13">
        <v>3.0</v>
      </c>
      <c r="Q31" s="13">
        <v>4.0</v>
      </c>
    </row>
    <row r="32">
      <c r="A32" s="23" t="s">
        <v>32</v>
      </c>
      <c r="B32" s="12"/>
      <c r="C32" s="12"/>
      <c r="D32" s="12"/>
      <c r="E32" s="12"/>
      <c r="F32" s="12"/>
      <c r="G32" s="13" t="s">
        <v>83</v>
      </c>
      <c r="H32" s="13" t="s">
        <v>84</v>
      </c>
      <c r="I32" s="13" t="s">
        <v>85</v>
      </c>
      <c r="J32" s="13" t="s">
        <v>86</v>
      </c>
      <c r="K32" s="13" t="s">
        <v>87</v>
      </c>
      <c r="L32" s="13" t="s">
        <v>88</v>
      </c>
      <c r="M32" s="13" t="s">
        <v>89</v>
      </c>
      <c r="N32" s="13" t="s">
        <v>90</v>
      </c>
      <c r="O32" s="13" t="s">
        <v>91</v>
      </c>
      <c r="P32" s="13" t="s">
        <v>92</v>
      </c>
      <c r="Q32" s="13" t="s">
        <v>93</v>
      </c>
    </row>
    <row r="33" ht="44.25" customHeight="1">
      <c r="A33" s="24" t="s">
        <v>45</v>
      </c>
      <c r="B33" s="44"/>
      <c r="C33" s="44"/>
      <c r="D33" s="44"/>
      <c r="E33" s="44"/>
      <c r="F33" s="44"/>
      <c r="G33" s="44"/>
      <c r="H33" s="44"/>
      <c r="I33" s="44"/>
      <c r="J33" s="44"/>
      <c r="K33" s="25">
        <v>44.0</v>
      </c>
      <c r="L33" s="25">
        <v>41.0</v>
      </c>
      <c r="M33" s="25">
        <v>23.0</v>
      </c>
      <c r="N33" s="25">
        <v>40.0</v>
      </c>
      <c r="O33" s="25">
        <v>47.0</v>
      </c>
      <c r="P33" s="25">
        <v>53.0</v>
      </c>
      <c r="Q33" s="25">
        <v>53.0</v>
      </c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38"/>
      <c r="N34" s="29"/>
      <c r="O34" s="29"/>
      <c r="P34" s="29"/>
      <c r="Q34" s="29"/>
    </row>
    <row r="35">
      <c r="A35" s="38"/>
      <c r="N35" s="32"/>
      <c r="O35" s="32"/>
      <c r="P35" s="32"/>
      <c r="Q35" s="32"/>
    </row>
    <row r="36">
      <c r="A36" s="38"/>
    </row>
    <row r="37">
      <c r="A37" s="38"/>
    </row>
    <row r="38">
      <c r="A38" s="38"/>
    </row>
    <row r="39">
      <c r="A39" s="38"/>
    </row>
    <row r="40">
      <c r="A40" s="38"/>
    </row>
    <row r="41">
      <c r="A41" s="38"/>
    </row>
    <row r="42">
      <c r="A42" s="38"/>
    </row>
    <row r="43">
      <c r="A43" s="38"/>
    </row>
    <row r="44">
      <c r="A44" s="38"/>
    </row>
    <row r="45">
      <c r="A45" s="38"/>
    </row>
    <row r="46">
      <c r="A46" s="38"/>
    </row>
    <row r="47">
      <c r="A47" s="38"/>
    </row>
    <row r="48">
      <c r="A48" s="38"/>
    </row>
    <row r="49">
      <c r="A49" s="38"/>
    </row>
    <row r="50">
      <c r="A50" s="38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</sheetData>
  <mergeCells count="28">
    <mergeCell ref="Q3:Q4"/>
    <mergeCell ref="A5:Q5"/>
    <mergeCell ref="A7:Q7"/>
    <mergeCell ref="A10:Q10"/>
    <mergeCell ref="A14:Q14"/>
    <mergeCell ref="A20:Q20"/>
    <mergeCell ref="A29:Q29"/>
    <mergeCell ref="A1:Q1"/>
    <mergeCell ref="B2:E2"/>
    <mergeCell ref="F2:I2"/>
    <mergeCell ref="J2:M2"/>
    <mergeCell ref="N2:Q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</mergeCells>
  <drawing r:id="rId1"/>
</worksheet>
</file>